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63F5A6C9-5CB7-455F-98B7-81F709B7CAE5}" xr6:coauthVersionLast="47" xr6:coauthVersionMax="47" xr10:uidLastSave="{00000000-0000-0000-0000-000000000000}"/>
  <bookViews>
    <workbookView xWindow="-120" yWindow="-120" windowWidth="29040" windowHeight="15840" xr2:uid="{6EE75E54-00C6-466F-BA17-D4DCF0C1D8C7}"/>
  </bookViews>
  <sheets>
    <sheet name="Levels" sheetId="1" r:id="rId1"/>
    <sheet name="Item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<sst xmlns="http://schemas.openxmlformats.org/spreadsheetml/2006/main" count="437" uniqueCount="205">
  <si>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</si>
  <si>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</si>
  <si>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</si>
  <si>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</si>
  <si>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</si>
  <si>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</si>
  <si>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</si>
  <si>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</si>
  <si>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</si>
  <si>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Freezadia</t>
  </si>
  <si>
    <t>Skill</t>
  </si>
  <si>
    <t>Melee</t>
  </si>
  <si>
    <t>Atlantis Ruins</t>
  </si>
  <si>
    <t>Splashadia</t>
  </si>
  <si>
    <t>ITEMS</t>
  </si>
  <si>
    <t>First Found</t>
  </si>
  <si>
    <t>Snowball</t>
  </si>
  <si>
    <t>-</t>
  </si>
  <si>
    <t>Ripped Shoes</t>
  </si>
  <si>
    <t>Foreign Coin</t>
  </si>
  <si>
    <t>Chipped Diamond</t>
  </si>
  <si>
    <t>Half Eaten Sandwich</t>
  </si>
  <si>
    <t>Crocodile Floaty</t>
  </si>
  <si>
    <t>Gold Coin</t>
  </si>
  <si>
    <t>Test Tube</t>
  </si>
  <si>
    <t>Scratched Coin</t>
  </si>
  <si>
    <t>Facility</t>
  </si>
  <si>
    <t>Gun Fragment</t>
  </si>
  <si>
    <t>Seaweed</t>
  </si>
  <si>
    <t>Fish Tooth</t>
  </si>
  <si>
    <t>Mermaid Tail</t>
  </si>
  <si>
    <t>Diamond</t>
  </si>
  <si>
    <t>Emerald</t>
  </si>
  <si>
    <t>Old Cross</t>
  </si>
  <si>
    <t>Blight</t>
  </si>
  <si>
    <t>Shattered Molotov</t>
  </si>
  <si>
    <t>Flame</t>
  </si>
  <si>
    <t>Box of Matches</t>
  </si>
  <si>
    <t>Meflame</t>
  </si>
  <si>
    <t>Goat Horn</t>
  </si>
  <si>
    <t>Electrical Wire</t>
  </si>
  <si>
    <t>Zapao</t>
  </si>
  <si>
    <t>Megust</t>
  </si>
  <si>
    <t>Old Pendant</t>
  </si>
  <si>
    <t>Heal</t>
  </si>
  <si>
    <t>Vial of Ink</t>
  </si>
  <si>
    <t>Hex</t>
  </si>
  <si>
    <t>Glass Pendant</t>
  </si>
  <si>
    <t>Healan</t>
  </si>
  <si>
    <t>Waterproof Flamethrower</t>
  </si>
  <si>
    <t>Flamadia</t>
  </si>
  <si>
    <t>Ice Core</t>
  </si>
  <si>
    <t>Freeze</t>
  </si>
  <si>
    <t>Ice Shard</t>
  </si>
  <si>
    <t>Mefreeze</t>
  </si>
  <si>
    <t>Crystalised Flake</t>
  </si>
  <si>
    <t>Freezan</t>
  </si>
  <si>
    <t>Dented Airhorn</t>
  </si>
  <si>
    <t>Gust</t>
  </si>
  <si>
    <t>Cold Hairdryer</t>
  </si>
  <si>
    <t>Gustan</t>
  </si>
  <si>
    <t>Firecracker</t>
  </si>
  <si>
    <t>Meflamao</t>
  </si>
  <si>
    <t>Squid Head</t>
  </si>
  <si>
    <t>Mehex</t>
  </si>
  <si>
    <t>Jellyfish Tenticle</t>
  </si>
  <si>
    <t>Zapadia</t>
  </si>
  <si>
    <t>Dark Staff</t>
  </si>
  <si>
    <t>Mehexo</t>
  </si>
  <si>
    <t>Radioactive Core</t>
  </si>
  <si>
    <t>Frei</t>
  </si>
  <si>
    <t>Radioactive Chunk</t>
  </si>
  <si>
    <t>Freila</t>
  </si>
  <si>
    <t>Water Blaster 9000</t>
  </si>
  <si>
    <t>Splashan</t>
  </si>
  <si>
    <t>Fire Hydrant</t>
  </si>
  <si>
    <t>Live Cables</t>
  </si>
  <si>
    <t>Mezap</t>
  </si>
  <si>
    <t>Water Balloon</t>
  </si>
  <si>
    <t>Mesplash</t>
  </si>
  <si>
    <t>Sharp Stick</t>
  </si>
  <si>
    <t>Damage</t>
  </si>
  <si>
    <t>Sharp Icicle</t>
  </si>
  <si>
    <t>Nail Board</t>
  </si>
  <si>
    <t>Ice-Axe</t>
  </si>
  <si>
    <t>Ice Crossbow</t>
  </si>
  <si>
    <t>Wingman</t>
  </si>
  <si>
    <t>Rusty Anchor</t>
  </si>
  <si>
    <t>Trident</t>
  </si>
  <si>
    <t>Iron Spear</t>
  </si>
  <si>
    <t>Glock-17</t>
  </si>
  <si>
    <t>Royal Trident</t>
  </si>
  <si>
    <t>Breach Hammer</t>
  </si>
  <si>
    <t>Consumable</t>
  </si>
  <si>
    <t>Thawn Bandage</t>
  </si>
  <si>
    <t>Effect</t>
  </si>
  <si>
    <t>+40 HP</t>
  </si>
  <si>
    <t>Energy Pills</t>
  </si>
  <si>
    <t>+15 STA</t>
  </si>
  <si>
    <t>Worn Field Kit</t>
  </si>
  <si>
    <t>+100 HP</t>
  </si>
  <si>
    <t>Bottle o' Spirit</t>
  </si>
  <si>
    <t>+35 STA</t>
  </si>
  <si>
    <t>Medkit</t>
  </si>
  <si>
    <t>+200 HP</t>
  </si>
  <si>
    <t>Holy Water</t>
  </si>
  <si>
    <t>+80 STA</t>
  </si>
  <si>
    <t>Power Supplements</t>
  </si>
  <si>
    <t>x2.5 Melee</t>
  </si>
  <si>
    <t>Concentration Pills</t>
  </si>
  <si>
    <t>x2.5 Skill</t>
  </si>
  <si>
    <t>Overpower Capsules</t>
  </si>
  <si>
    <t>x2.5 Melee/Skill</t>
  </si>
  <si>
    <t>x4 Melee</t>
  </si>
  <si>
    <t>x4 Skill</t>
  </si>
  <si>
    <t>Concentration Pills X</t>
  </si>
  <si>
    <t>Power Supplements X</t>
  </si>
  <si>
    <t>Element</t>
  </si>
  <si>
    <t>Bless</t>
  </si>
  <si>
    <t>Fire</t>
  </si>
  <si>
    <t>Ice</t>
  </si>
  <si>
    <t>Wind</t>
  </si>
  <si>
    <t>Curse</t>
  </si>
  <si>
    <t>Water</t>
  </si>
  <si>
    <t>Electric</t>
  </si>
  <si>
    <t>Nuclear</t>
  </si>
  <si>
    <t>Support</t>
  </si>
  <si>
    <t>Suction Device</t>
  </si>
  <si>
    <t>Gustadia</t>
  </si>
  <si>
    <t>Bag of Powdered Snow</t>
  </si>
  <si>
    <t>Beam Saber</t>
  </si>
  <si>
    <t>Acid Injected Sword</t>
  </si>
  <si>
    <t>Glass Shard</t>
  </si>
  <si>
    <t>Screwdriver</t>
  </si>
  <si>
    <t>Prototype Heat Rod</t>
  </si>
  <si>
    <t>Glacier F3 Key</t>
  </si>
  <si>
    <t>Glacier F5 Key</t>
  </si>
  <si>
    <t>Atlantis F2 Key</t>
  </si>
  <si>
    <t>Atlantis F4 Key</t>
  </si>
  <si>
    <t>Atlantis F5 Key A</t>
  </si>
  <si>
    <t>Atlantis F5 Key B</t>
  </si>
  <si>
    <t>Battery Reserve</t>
  </si>
  <si>
    <t>Mezapao</t>
  </si>
  <si>
    <t>Reactor Heart</t>
  </si>
  <si>
    <t>Freiladia</t>
  </si>
  <si>
    <t>Cracked Syringe</t>
  </si>
  <si>
    <t>Holy Cross</t>
  </si>
  <si>
    <t>Blighta</t>
  </si>
  <si>
    <t>Ruby</t>
  </si>
  <si>
    <t>Portable Mini Cannon</t>
  </si>
  <si>
    <t>Flamao</t>
  </si>
  <si>
    <t>Enchanted Pendant</t>
  </si>
  <si>
    <t>Healadia</t>
  </si>
  <si>
    <t>Potion of Instant Health</t>
  </si>
  <si>
    <t>+350 HP</t>
  </si>
  <si>
    <t>Potion of Mutated Souls</t>
  </si>
  <si>
    <t>+150 STA</t>
  </si>
  <si>
    <t>Barrier</t>
  </si>
  <si>
    <t>Nul next ATK</t>
  </si>
  <si>
    <t>+999 HP</t>
  </si>
  <si>
    <t>+60 HP</t>
  </si>
  <si>
    <t>+150 HP</t>
  </si>
  <si>
    <t>Explosive TNT</t>
  </si>
  <si>
    <t>World's Biggest Hose</t>
  </si>
  <si>
    <t>Frosted Railgun</t>
  </si>
  <si>
    <t>Broken Powerline</t>
  </si>
  <si>
    <t>Portable Black Hole</t>
  </si>
  <si>
    <t>Meflamadia</t>
  </si>
  <si>
    <t>Mesplashadia</t>
  </si>
  <si>
    <t>Mefreezadia</t>
  </si>
  <si>
    <t>Mezapadia</t>
  </si>
  <si>
    <t>Megustadia</t>
  </si>
  <si>
    <t>WInd</t>
  </si>
  <si>
    <t>AK-47</t>
  </si>
  <si>
    <t>10 Pound Coin</t>
  </si>
  <si>
    <t>10 Euro Coin</t>
  </si>
  <si>
    <t>Jar of Substance</t>
  </si>
  <si>
    <t>Facility F3 Keycard</t>
  </si>
  <si>
    <t>Facility F5 Keycard A</t>
  </si>
  <si>
    <t>Facility F5 Keycard B</t>
  </si>
  <si>
    <t>M6 Gerand</t>
  </si>
  <si>
    <t>Kraber 50-Caliber</t>
  </si>
  <si>
    <t>Mega Bunsen Burner</t>
  </si>
  <si>
    <t>Paquette Pylon</t>
  </si>
  <si>
    <t>Eye of the Spark</t>
  </si>
  <si>
    <t>Fitzroy Motherload</t>
  </si>
  <si>
    <t>Eye of the Sun</t>
  </si>
  <si>
    <t>F5 Twister in a Barrel</t>
  </si>
  <si>
    <t>Eye of the Storm</t>
  </si>
  <si>
    <t>Book of God - 2049 Edition</t>
  </si>
  <si>
    <t>Blightaon</t>
  </si>
  <si>
    <t>Orb of Dark Matter</t>
  </si>
  <si>
    <t>Hexaon</t>
  </si>
  <si>
    <t>Facility F6 Keycard</t>
  </si>
  <si>
    <t>10 Dollar Coin</t>
  </si>
  <si>
    <t>Chemical Pipette</t>
  </si>
  <si>
    <t>x7 Melee</t>
  </si>
  <si>
    <t>x7 Skill</t>
  </si>
  <si>
    <t>Power Supplements 50mg</t>
  </si>
  <si>
    <t>Concentration Pills 50mg</t>
  </si>
  <si>
    <t>Enhanced Flask</t>
  </si>
  <si>
    <t>+999 STA</t>
  </si>
  <si>
    <t>Emergency Defibrilator</t>
  </si>
  <si>
    <t>Blunt Kunai</t>
  </si>
  <si>
    <t>Magma Fields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</si>
</sst>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2" xfId="0" quotePrefix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4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7" xfId="0" quotePrefix="1" applyBorder="1" applyAlignment="1">
      <alignment horizontal="center"/>
    </xf>
    <xf numFmtId="0" fontId="0" fillId="5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1"/>
  <sheetViews>
    <sheetView tabSelected="1" topLeftCell="A10" zoomScale="190" zoomScaleNormal="190" workbookViewId="0">
      <selection activeCell="F63" sqref="F63:F101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26"/>
      <c r="E3" s="26"/>
      <c r="F3" s="27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27"/>
    </row>
    <row r="5" spans="1:6" x14ac:dyDescent="0.25">
      <c r="A5" s="1">
        <f>A4+1</f>
        <v>3</v>
      </c>
      <c r="B5" s="1">
        <f t="shared" ref="B5:B21" si="0">(B4+7)</f>
        <v>154</v>
      </c>
      <c r="C5" s="1">
        <f t="shared" ref="C5:C21" si="1">(C4+4)</f>
        <v>70</v>
      </c>
      <c r="D5" s="1">
        <f>INT(D4*1.35)</f>
        <v>29</v>
      </c>
      <c r="E5" s="1">
        <f>D5+E4</f>
        <v>49</v>
      </c>
      <c r="F5" s="27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27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27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27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27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27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27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27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27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27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27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27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27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27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27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27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27"/>
    </row>
    <row r="22" spans="1:6" ht="15" customHeight="1" x14ac:dyDescent="0.25">
      <c r="A22" s="1">
        <f t="shared" ref="A22:A42" si="6">A21+1</f>
        <v>20</v>
      </c>
      <c r="B22" s="1">
        <f>(B21+8)</f>
        <v>274</v>
      </c>
      <c r="C22" s="1">
        <f>(C21+5)</f>
        <v>139</v>
      </c>
      <c r="D22" s="1">
        <f t="shared" si="3"/>
        <v>4584</v>
      </c>
      <c r="E22" s="1">
        <f t="shared" si="5"/>
        <v>17639</v>
      </c>
      <c r="F22" s="27"/>
    </row>
    <row r="23" spans="1:6" x14ac:dyDescent="0.25">
      <c r="A23" s="1">
        <f t="shared" si="6"/>
        <v>21</v>
      </c>
      <c r="B23" s="1">
        <f t="shared" ref="B23:B51" si="7">(B22+8)</f>
        <v>282</v>
      </c>
      <c r="C23" s="1">
        <f t="shared" ref="C23:C51" si="8">(C22+5)</f>
        <v>144</v>
      </c>
      <c r="D23" s="1">
        <f t="shared" si="3"/>
        <v>6188</v>
      </c>
      <c r="E23" s="1">
        <f t="shared" ref="E23:E45" si="9">D23+E22</f>
        <v>23827</v>
      </c>
      <c r="F23" s="28" t="s">
        <v>12</v>
      </c>
    </row>
    <row r="24" spans="1:6" x14ac:dyDescent="0.25">
      <c r="A24" s="1">
        <f t="shared" si="6"/>
        <v>22</v>
      </c>
      <c r="B24" s="1">
        <f t="shared" si="7"/>
        <v>290</v>
      </c>
      <c r="C24" s="1">
        <f t="shared" si="8"/>
        <v>149</v>
      </c>
      <c r="D24" s="1">
        <f>INT(D23*1.075)</f>
        <v>6652</v>
      </c>
      <c r="E24" s="1">
        <f t="shared" si="9"/>
        <v>30479</v>
      </c>
      <c r="F24" s="28"/>
    </row>
    <row r="25" spans="1:6" x14ac:dyDescent="0.25">
      <c r="A25" s="1">
        <f t="shared" si="6"/>
        <v>23</v>
      </c>
      <c r="B25" s="1">
        <f t="shared" si="7"/>
        <v>298</v>
      </c>
      <c r="C25" s="1">
        <f t="shared" si="8"/>
        <v>154</v>
      </c>
      <c r="D25" s="1">
        <f t="shared" ref="D25:D52" si="10">INT(D24*1.075)</f>
        <v>7150</v>
      </c>
      <c r="E25" s="1">
        <f t="shared" si="9"/>
        <v>37629</v>
      </c>
      <c r="F25" s="28"/>
    </row>
    <row r="26" spans="1:6" x14ac:dyDescent="0.25">
      <c r="A26" s="1">
        <f t="shared" si="6"/>
        <v>24</v>
      </c>
      <c r="B26" s="1">
        <f t="shared" si="7"/>
        <v>306</v>
      </c>
      <c r="C26" s="1">
        <f t="shared" si="8"/>
        <v>159</v>
      </c>
      <c r="D26" s="1">
        <f t="shared" si="10"/>
        <v>7686</v>
      </c>
      <c r="E26" s="1">
        <f t="shared" si="9"/>
        <v>45315</v>
      </c>
      <c r="F26" s="28"/>
    </row>
    <row r="27" spans="1:6" x14ac:dyDescent="0.25">
      <c r="A27" s="1">
        <f t="shared" si="6"/>
        <v>25</v>
      </c>
      <c r="B27" s="1">
        <f t="shared" si="7"/>
        <v>314</v>
      </c>
      <c r="C27" s="1">
        <f t="shared" si="8"/>
        <v>164</v>
      </c>
      <c r="D27" s="1">
        <f t="shared" si="10"/>
        <v>8262</v>
      </c>
      <c r="E27" s="1">
        <f t="shared" si="9"/>
        <v>53577</v>
      </c>
      <c r="F27" s="28"/>
    </row>
    <row r="28" spans="1:6" x14ac:dyDescent="0.25">
      <c r="A28" s="1">
        <f t="shared" si="6"/>
        <v>26</v>
      </c>
      <c r="B28" s="1">
        <f t="shared" si="7"/>
        <v>322</v>
      </c>
      <c r="C28" s="1">
        <f t="shared" si="8"/>
        <v>169</v>
      </c>
      <c r="D28" s="1">
        <f t="shared" si="10"/>
        <v>8881</v>
      </c>
      <c r="E28" s="1">
        <f t="shared" si="9"/>
        <v>62458</v>
      </c>
      <c r="F28" s="28"/>
    </row>
    <row r="29" spans="1:6" x14ac:dyDescent="0.25">
      <c r="A29" s="1">
        <f t="shared" si="6"/>
        <v>27</v>
      </c>
      <c r="B29" s="1">
        <f t="shared" si="7"/>
        <v>330</v>
      </c>
      <c r="C29" s="1">
        <f t="shared" si="8"/>
        <v>174</v>
      </c>
      <c r="D29" s="1">
        <f t="shared" si="10"/>
        <v>9547</v>
      </c>
      <c r="E29" s="1">
        <f t="shared" si="9"/>
        <v>72005</v>
      </c>
      <c r="F29" s="28"/>
    </row>
    <row r="30" spans="1:6" x14ac:dyDescent="0.25">
      <c r="A30" s="1">
        <f t="shared" si="6"/>
        <v>28</v>
      </c>
      <c r="B30" s="1">
        <f t="shared" si="7"/>
        <v>338</v>
      </c>
      <c r="C30" s="1">
        <f t="shared" si="8"/>
        <v>179</v>
      </c>
      <c r="D30" s="1">
        <f t="shared" si="10"/>
        <v>10263</v>
      </c>
      <c r="E30" s="1">
        <f t="shared" si="9"/>
        <v>82268</v>
      </c>
      <c r="F30" s="28"/>
    </row>
    <row r="31" spans="1:6" x14ac:dyDescent="0.25">
      <c r="A31" s="1">
        <f t="shared" si="6"/>
        <v>29</v>
      </c>
      <c r="B31" s="1">
        <f t="shared" si="7"/>
        <v>346</v>
      </c>
      <c r="C31" s="1">
        <f t="shared" si="8"/>
        <v>184</v>
      </c>
      <c r="D31" s="1">
        <f t="shared" si="10"/>
        <v>11032</v>
      </c>
      <c r="E31" s="1">
        <f t="shared" si="9"/>
        <v>93300</v>
      </c>
      <c r="F31" s="28"/>
    </row>
    <row r="32" spans="1:6" x14ac:dyDescent="0.25">
      <c r="A32" s="1">
        <f t="shared" si="6"/>
        <v>30</v>
      </c>
      <c r="B32" s="1">
        <f t="shared" si="7"/>
        <v>354</v>
      </c>
      <c r="C32" s="1">
        <f t="shared" si="8"/>
        <v>189</v>
      </c>
      <c r="D32" s="1">
        <f t="shared" si="10"/>
        <v>11859</v>
      </c>
      <c r="E32" s="1">
        <f t="shared" si="9"/>
        <v>105159</v>
      </c>
      <c r="F32" s="28"/>
    </row>
    <row r="33" spans="1:6" x14ac:dyDescent="0.25">
      <c r="A33" s="1">
        <f t="shared" si="6"/>
        <v>31</v>
      </c>
      <c r="B33" s="1">
        <f t="shared" si="7"/>
        <v>362</v>
      </c>
      <c r="C33" s="1">
        <f t="shared" si="8"/>
        <v>194</v>
      </c>
      <c r="D33" s="1">
        <f t="shared" si="10"/>
        <v>12748</v>
      </c>
      <c r="E33" s="1">
        <f t="shared" si="9"/>
        <v>117907</v>
      </c>
      <c r="F33" s="28"/>
    </row>
    <row r="34" spans="1:6" x14ac:dyDescent="0.25">
      <c r="A34" s="1">
        <f t="shared" si="6"/>
        <v>32</v>
      </c>
      <c r="B34" s="1">
        <f t="shared" si="7"/>
        <v>370</v>
      </c>
      <c r="C34" s="1">
        <f t="shared" si="8"/>
        <v>199</v>
      </c>
      <c r="D34" s="1">
        <f t="shared" si="10"/>
        <v>13704</v>
      </c>
      <c r="E34" s="1">
        <f t="shared" si="9"/>
        <v>131611</v>
      </c>
      <c r="F34" s="28"/>
    </row>
    <row r="35" spans="1:6" x14ac:dyDescent="0.25">
      <c r="A35" s="1">
        <f t="shared" si="6"/>
        <v>33</v>
      </c>
      <c r="B35" s="1">
        <f t="shared" si="7"/>
        <v>378</v>
      </c>
      <c r="C35" s="1">
        <f t="shared" si="8"/>
        <v>204</v>
      </c>
      <c r="D35" s="1">
        <f t="shared" si="10"/>
        <v>14731</v>
      </c>
      <c r="E35" s="1">
        <f t="shared" si="9"/>
        <v>146342</v>
      </c>
      <c r="F35" s="28"/>
    </row>
    <row r="36" spans="1:6" x14ac:dyDescent="0.25">
      <c r="A36" s="1">
        <f t="shared" si="6"/>
        <v>34</v>
      </c>
      <c r="B36" s="1">
        <f t="shared" si="7"/>
        <v>386</v>
      </c>
      <c r="C36" s="1">
        <f t="shared" si="8"/>
        <v>209</v>
      </c>
      <c r="D36" s="1">
        <f t="shared" si="10"/>
        <v>15835</v>
      </c>
      <c r="E36" s="1">
        <f t="shared" si="9"/>
        <v>162177</v>
      </c>
      <c r="F36" s="28"/>
    </row>
    <row r="37" spans="1:6" x14ac:dyDescent="0.25">
      <c r="A37" s="1">
        <f t="shared" si="6"/>
        <v>35</v>
      </c>
      <c r="B37" s="1">
        <f t="shared" si="7"/>
        <v>394</v>
      </c>
      <c r="C37" s="1">
        <f t="shared" si="8"/>
        <v>214</v>
      </c>
      <c r="D37" s="1">
        <f t="shared" si="10"/>
        <v>17022</v>
      </c>
      <c r="E37" s="1">
        <f t="shared" si="9"/>
        <v>179199</v>
      </c>
      <c r="F37" s="28"/>
    </row>
    <row r="38" spans="1:6" x14ac:dyDescent="0.25">
      <c r="A38" s="1">
        <f t="shared" si="6"/>
        <v>36</v>
      </c>
      <c r="B38" s="1">
        <f t="shared" si="7"/>
        <v>402</v>
      </c>
      <c r="C38" s="1">
        <f t="shared" si="8"/>
        <v>219</v>
      </c>
      <c r="D38" s="1">
        <f t="shared" si="10"/>
        <v>18298</v>
      </c>
      <c r="E38" s="1">
        <f t="shared" si="9"/>
        <v>197497</v>
      </c>
      <c r="F38" s="28"/>
    </row>
    <row r="39" spans="1:6" x14ac:dyDescent="0.25">
      <c r="A39" s="1">
        <f t="shared" si="6"/>
        <v>37</v>
      </c>
      <c r="B39" s="1">
        <f t="shared" si="7"/>
        <v>410</v>
      </c>
      <c r="C39" s="1">
        <f t="shared" si="8"/>
        <v>224</v>
      </c>
      <c r="D39" s="1">
        <f t="shared" si="10"/>
        <v>19670</v>
      </c>
      <c r="E39" s="1">
        <f t="shared" si="9"/>
        <v>217167</v>
      </c>
      <c r="F39" s="28"/>
    </row>
    <row r="40" spans="1:6" x14ac:dyDescent="0.25">
      <c r="A40" s="1">
        <f t="shared" si="6"/>
        <v>38</v>
      </c>
      <c r="B40" s="1">
        <f t="shared" si="7"/>
        <v>418</v>
      </c>
      <c r="C40" s="1">
        <f t="shared" si="8"/>
        <v>229</v>
      </c>
      <c r="D40" s="1">
        <f t="shared" si="10"/>
        <v>21145</v>
      </c>
      <c r="E40" s="1">
        <f t="shared" si="9"/>
        <v>238312</v>
      </c>
      <c r="F40" s="28"/>
    </row>
    <row r="41" spans="1:6" x14ac:dyDescent="0.25">
      <c r="A41" s="1">
        <f t="shared" si="6"/>
        <v>39</v>
      </c>
      <c r="B41" s="1">
        <f t="shared" si="7"/>
        <v>426</v>
      </c>
      <c r="C41" s="1">
        <f t="shared" si="8"/>
        <v>234</v>
      </c>
      <c r="D41" s="1">
        <f t="shared" si="10"/>
        <v>22730</v>
      </c>
      <c r="E41" s="1">
        <f t="shared" si="9"/>
        <v>261042</v>
      </c>
      <c r="F41" s="28"/>
    </row>
    <row r="42" spans="1:6" x14ac:dyDescent="0.25">
      <c r="A42" s="1">
        <f t="shared" si="6"/>
        <v>40</v>
      </c>
      <c r="B42" s="1">
        <f t="shared" si="7"/>
        <v>434</v>
      </c>
      <c r="C42" s="1">
        <f>(C41+5)</f>
        <v>239</v>
      </c>
      <c r="D42" s="1">
        <f t="shared" si="10"/>
        <v>24434</v>
      </c>
      <c r="E42" s="1">
        <f t="shared" si="9"/>
        <v>285476</v>
      </c>
      <c r="F42" s="28"/>
    </row>
    <row r="43" spans="1:6" x14ac:dyDescent="0.25">
      <c r="A43" s="1">
        <f>A42+1</f>
        <v>41</v>
      </c>
      <c r="B43" s="1">
        <f t="shared" si="7"/>
        <v>442</v>
      </c>
      <c r="C43" s="1">
        <f t="shared" si="8"/>
        <v>244</v>
      </c>
      <c r="D43" s="1">
        <f t="shared" si="10"/>
        <v>26266</v>
      </c>
      <c r="E43" s="1">
        <f t="shared" si="9"/>
        <v>311742</v>
      </c>
      <c r="F43" s="28"/>
    </row>
    <row r="44" spans="1:6" x14ac:dyDescent="0.25">
      <c r="A44" s="1">
        <f>A43+1</f>
        <v>42</v>
      </c>
      <c r="B44" s="1">
        <f t="shared" si="7"/>
        <v>450</v>
      </c>
      <c r="C44" s="1">
        <f t="shared" si="8"/>
        <v>249</v>
      </c>
      <c r="D44" s="1">
        <f t="shared" si="10"/>
        <v>28235</v>
      </c>
      <c r="E44" s="1">
        <f t="shared" si="9"/>
        <v>339977</v>
      </c>
      <c r="F44" s="28"/>
    </row>
    <row r="45" spans="1:6" x14ac:dyDescent="0.25">
      <c r="A45" s="1">
        <f t="shared" ref="A45:A62" si="11">A44+1</f>
        <v>43</v>
      </c>
      <c r="B45" s="1">
        <f t="shared" si="7"/>
        <v>458</v>
      </c>
      <c r="C45" s="1">
        <f t="shared" si="8"/>
        <v>254</v>
      </c>
      <c r="D45" s="1">
        <f t="shared" si="10"/>
        <v>30352</v>
      </c>
      <c r="E45" s="1">
        <f t="shared" si="9"/>
        <v>370329</v>
      </c>
      <c r="F45" s="28"/>
    </row>
    <row r="46" spans="1:6" x14ac:dyDescent="0.25">
      <c r="A46" s="1">
        <f t="shared" si="11"/>
        <v>44</v>
      </c>
      <c r="B46" s="1">
        <f t="shared" si="7"/>
        <v>466</v>
      </c>
      <c r="C46" s="1">
        <f t="shared" si="8"/>
        <v>259</v>
      </c>
      <c r="D46" s="1">
        <f t="shared" si="10"/>
        <v>32628</v>
      </c>
      <c r="E46" s="1">
        <f t="shared" ref="E46:E88" si="12">D46+E45</f>
        <v>402957</v>
      </c>
      <c r="F46" s="29" t="s">
        <v>26</v>
      </c>
    </row>
    <row r="47" spans="1:6" x14ac:dyDescent="0.25">
      <c r="A47" s="1">
        <f t="shared" si="11"/>
        <v>45</v>
      </c>
      <c r="B47" s="1">
        <f t="shared" si="7"/>
        <v>474</v>
      </c>
      <c r="C47" s="1">
        <f t="shared" si="8"/>
        <v>264</v>
      </c>
      <c r="D47" s="1">
        <f t="shared" si="10"/>
        <v>35075</v>
      </c>
      <c r="E47" s="1">
        <f t="shared" si="12"/>
        <v>438032</v>
      </c>
      <c r="F47" s="29"/>
    </row>
    <row r="48" spans="1:6" x14ac:dyDescent="0.25">
      <c r="A48" s="1">
        <f t="shared" si="11"/>
        <v>46</v>
      </c>
      <c r="B48" s="1">
        <f t="shared" si="7"/>
        <v>482</v>
      </c>
      <c r="C48" s="1">
        <f t="shared" si="8"/>
        <v>269</v>
      </c>
      <c r="D48" s="1">
        <f t="shared" si="10"/>
        <v>37705</v>
      </c>
      <c r="E48" s="1">
        <f t="shared" si="12"/>
        <v>475737</v>
      </c>
      <c r="F48" s="29"/>
    </row>
    <row r="49" spans="1:6" x14ac:dyDescent="0.25">
      <c r="A49" s="1">
        <f t="shared" si="11"/>
        <v>47</v>
      </c>
      <c r="B49" s="1">
        <f t="shared" si="7"/>
        <v>490</v>
      </c>
      <c r="C49" s="1">
        <f t="shared" si="8"/>
        <v>274</v>
      </c>
      <c r="D49" s="1">
        <f t="shared" si="10"/>
        <v>40532</v>
      </c>
      <c r="E49" s="1">
        <f t="shared" si="12"/>
        <v>516269</v>
      </c>
      <c r="F49" s="29"/>
    </row>
    <row r="50" spans="1:6" x14ac:dyDescent="0.25">
      <c r="A50" s="1">
        <f t="shared" si="11"/>
        <v>48</v>
      </c>
      <c r="B50" s="1">
        <f t="shared" si="7"/>
        <v>498</v>
      </c>
      <c r="C50" s="1">
        <f t="shared" si="8"/>
        <v>279</v>
      </c>
      <c r="D50" s="1">
        <f t="shared" si="10"/>
        <v>43571</v>
      </c>
      <c r="E50" s="1">
        <f t="shared" si="12"/>
        <v>559840</v>
      </c>
      <c r="F50" s="29"/>
    </row>
    <row r="51" spans="1:6" x14ac:dyDescent="0.25">
      <c r="A51" s="1">
        <f t="shared" si="11"/>
        <v>49</v>
      </c>
      <c r="B51" s="1">
        <f t="shared" si="7"/>
        <v>506</v>
      </c>
      <c r="C51" s="1">
        <f t="shared" si="8"/>
        <v>284</v>
      </c>
      <c r="D51" s="1">
        <f t="shared" si="10"/>
        <v>46838</v>
      </c>
      <c r="E51" s="1">
        <f t="shared" si="12"/>
        <v>606678</v>
      </c>
      <c r="F51" s="29"/>
    </row>
    <row r="52" spans="1:6" x14ac:dyDescent="0.25">
      <c r="A52" s="1">
        <f t="shared" si="11"/>
        <v>50</v>
      </c>
      <c r="B52" s="1">
        <f>(B51+11)</f>
        <v>517</v>
      </c>
      <c r="C52" s="1">
        <f>(C51+7)</f>
        <v>291</v>
      </c>
      <c r="D52" s="1">
        <f t="shared" si="10"/>
        <v>50350</v>
      </c>
      <c r="E52" s="1">
        <f t="shared" si="12"/>
        <v>657028</v>
      </c>
      <c r="F52" s="29"/>
    </row>
    <row r="53" spans="1:6" x14ac:dyDescent="0.25">
      <c r="A53" s="1">
        <f t="shared" si="11"/>
        <v>51</v>
      </c>
      <c r="B53" s="1">
        <f t="shared" ref="B53:B101" si="13">(B52+11)</f>
        <v>528</v>
      </c>
      <c r="C53" s="1">
        <f t="shared" ref="C53:C101" si="14">(C52+7)</f>
        <v>298</v>
      </c>
      <c r="D53" s="1">
        <f>INT(D52*1.03)</f>
        <v>51860</v>
      </c>
      <c r="E53" s="1">
        <f t="shared" si="12"/>
        <v>708888</v>
      </c>
      <c r="F53" s="29"/>
    </row>
    <row r="54" spans="1:6" x14ac:dyDescent="0.25">
      <c r="A54" s="1">
        <f t="shared" si="11"/>
        <v>52</v>
      </c>
      <c r="B54" s="1">
        <f t="shared" si="13"/>
        <v>539</v>
      </c>
      <c r="C54" s="1">
        <f t="shared" si="14"/>
        <v>305</v>
      </c>
      <c r="D54" s="1">
        <f t="shared" ref="D54:D101" si="15">INT(D53*1.03)</f>
        <v>53415</v>
      </c>
      <c r="E54" s="1">
        <f t="shared" si="12"/>
        <v>762303</v>
      </c>
      <c r="F54" s="29"/>
    </row>
    <row r="55" spans="1:6" x14ac:dyDescent="0.25">
      <c r="A55" s="1">
        <f t="shared" si="11"/>
        <v>53</v>
      </c>
      <c r="B55" s="1">
        <f t="shared" si="13"/>
        <v>550</v>
      </c>
      <c r="C55" s="1">
        <f t="shared" si="14"/>
        <v>312</v>
      </c>
      <c r="D55" s="1">
        <f t="shared" si="15"/>
        <v>55017</v>
      </c>
      <c r="E55" s="1">
        <f t="shared" si="12"/>
        <v>817320</v>
      </c>
      <c r="F55" s="29"/>
    </row>
    <row r="56" spans="1:6" x14ac:dyDescent="0.25">
      <c r="A56" s="1">
        <f t="shared" si="11"/>
        <v>54</v>
      </c>
      <c r="B56" s="1">
        <f t="shared" si="13"/>
        <v>561</v>
      </c>
      <c r="C56" s="1">
        <f t="shared" si="14"/>
        <v>319</v>
      </c>
      <c r="D56" s="1">
        <f t="shared" si="15"/>
        <v>56667</v>
      </c>
      <c r="E56" s="1">
        <f t="shared" si="12"/>
        <v>873987</v>
      </c>
      <c r="F56" s="29"/>
    </row>
    <row r="57" spans="1:6" x14ac:dyDescent="0.25">
      <c r="A57" s="1">
        <f t="shared" si="11"/>
        <v>55</v>
      </c>
      <c r="B57" s="1">
        <f t="shared" si="13"/>
        <v>572</v>
      </c>
      <c r="C57" s="1">
        <f t="shared" si="14"/>
        <v>326</v>
      </c>
      <c r="D57" s="1">
        <f t="shared" si="15"/>
        <v>58367</v>
      </c>
      <c r="E57" s="1">
        <f t="shared" si="12"/>
        <v>932354</v>
      </c>
      <c r="F57" s="29"/>
    </row>
    <row r="58" spans="1:6" x14ac:dyDescent="0.25">
      <c r="A58" s="1">
        <f t="shared" si="11"/>
        <v>56</v>
      </c>
      <c r="B58" s="1">
        <f t="shared" si="13"/>
        <v>583</v>
      </c>
      <c r="C58" s="1">
        <f t="shared" si="14"/>
        <v>333</v>
      </c>
      <c r="D58" s="1">
        <f t="shared" si="15"/>
        <v>60118</v>
      </c>
      <c r="E58" s="1">
        <f t="shared" si="12"/>
        <v>992472</v>
      </c>
      <c r="F58" s="29"/>
    </row>
    <row r="59" spans="1:6" x14ac:dyDescent="0.25">
      <c r="A59" s="1">
        <f t="shared" si="11"/>
        <v>57</v>
      </c>
      <c r="B59" s="1">
        <f t="shared" si="13"/>
        <v>594</v>
      </c>
      <c r="C59" s="1">
        <f t="shared" si="14"/>
        <v>340</v>
      </c>
      <c r="D59" s="1">
        <f t="shared" si="15"/>
        <v>61921</v>
      </c>
      <c r="E59" s="1">
        <f t="shared" si="12"/>
        <v>1054393</v>
      </c>
      <c r="F59" s="29"/>
    </row>
    <row r="60" spans="1:6" x14ac:dyDescent="0.25">
      <c r="A60" s="1">
        <f t="shared" si="11"/>
        <v>58</v>
      </c>
      <c r="B60" s="1">
        <f t="shared" si="13"/>
        <v>605</v>
      </c>
      <c r="C60" s="1">
        <f t="shared" si="14"/>
        <v>347</v>
      </c>
      <c r="D60" s="1">
        <f t="shared" si="15"/>
        <v>63778</v>
      </c>
      <c r="E60" s="1">
        <f t="shared" si="12"/>
        <v>1118171</v>
      </c>
      <c r="F60" s="29"/>
    </row>
    <row r="61" spans="1:6" x14ac:dyDescent="0.25">
      <c r="A61" s="1">
        <f t="shared" si="11"/>
        <v>59</v>
      </c>
      <c r="B61" s="1">
        <f t="shared" si="13"/>
        <v>616</v>
      </c>
      <c r="C61" s="1">
        <f t="shared" si="14"/>
        <v>354</v>
      </c>
      <c r="D61" s="1">
        <f t="shared" si="15"/>
        <v>65691</v>
      </c>
      <c r="E61" s="1">
        <f t="shared" si="12"/>
        <v>1183862</v>
      </c>
      <c r="F61" s="29"/>
    </row>
    <row r="62" spans="1:6" x14ac:dyDescent="0.25">
      <c r="A62" s="1">
        <f t="shared" si="11"/>
        <v>60</v>
      </c>
      <c r="B62" s="1">
        <f t="shared" si="13"/>
        <v>627</v>
      </c>
      <c r="C62" s="1">
        <f t="shared" si="14"/>
        <v>361</v>
      </c>
      <c r="D62" s="1">
        <f t="shared" si="15"/>
        <v>67661</v>
      </c>
      <c r="E62" s="1">
        <f t="shared" si="12"/>
        <v>1251523</v>
      </c>
      <c r="F62" s="29"/>
    </row>
    <row r="63" spans="1:6" x14ac:dyDescent="0.25">
      <c r="A63" s="1">
        <f>A62+1</f>
        <v>61</v>
      </c>
      <c r="B63" s="1">
        <f t="shared" si="13"/>
        <v>638</v>
      </c>
      <c r="C63" s="1">
        <f t="shared" si="14"/>
        <v>368</v>
      </c>
      <c r="D63" s="1">
        <f t="shared" si="15"/>
        <v>69690</v>
      </c>
      <c r="E63" s="1">
        <f t="shared" si="12"/>
        <v>1321213</v>
      </c>
      <c r="F63" s="28" t="s">
        <v>204</v>
      </c>
    </row>
    <row r="64" spans="1:6" x14ac:dyDescent="0.25">
      <c r="A64" s="1">
        <f>A63+1</f>
        <v>62</v>
      </c>
      <c r="B64" s="1">
        <f t="shared" si="13"/>
        <v>649</v>
      </c>
      <c r="C64" s="1">
        <f t="shared" si="14"/>
        <v>375</v>
      </c>
      <c r="D64" s="1">
        <f t="shared" si="15"/>
        <v>71780</v>
      </c>
      <c r="E64" s="1">
        <f t="shared" si="12"/>
        <v>1392993</v>
      </c>
      <c r="F64" s="28"/>
    </row>
    <row r="65" spans="1:6" x14ac:dyDescent="0.25">
      <c r="A65" s="1">
        <f t="shared" ref="A65:A85" si="16">A64+1</f>
        <v>63</v>
      </c>
      <c r="B65" s="1">
        <f t="shared" si="13"/>
        <v>660</v>
      </c>
      <c r="C65" s="1">
        <f t="shared" si="14"/>
        <v>382</v>
      </c>
      <c r="D65" s="1">
        <f t="shared" si="15"/>
        <v>73933</v>
      </c>
      <c r="E65" s="1">
        <f t="shared" si="12"/>
        <v>1466926</v>
      </c>
      <c r="F65" s="28"/>
    </row>
    <row r="66" spans="1:6" x14ac:dyDescent="0.25">
      <c r="A66" s="1">
        <f t="shared" si="16"/>
        <v>64</v>
      </c>
      <c r="B66" s="1">
        <f t="shared" si="13"/>
        <v>671</v>
      </c>
      <c r="C66" s="1">
        <f t="shared" si="14"/>
        <v>389</v>
      </c>
      <c r="D66" s="1">
        <f t="shared" si="15"/>
        <v>76150</v>
      </c>
      <c r="E66" s="1">
        <f t="shared" si="12"/>
        <v>1543076</v>
      </c>
      <c r="F66" s="28"/>
    </row>
    <row r="67" spans="1:6" x14ac:dyDescent="0.25">
      <c r="A67" s="1">
        <f t="shared" si="16"/>
        <v>65</v>
      </c>
      <c r="B67" s="1">
        <f t="shared" si="13"/>
        <v>682</v>
      </c>
      <c r="C67" s="1">
        <f t="shared" si="14"/>
        <v>396</v>
      </c>
      <c r="D67" s="1">
        <f t="shared" si="15"/>
        <v>78434</v>
      </c>
      <c r="E67" s="1">
        <f t="shared" si="12"/>
        <v>1621510</v>
      </c>
      <c r="F67" s="28"/>
    </row>
    <row r="68" spans="1:6" x14ac:dyDescent="0.25">
      <c r="A68" s="1">
        <f t="shared" si="16"/>
        <v>66</v>
      </c>
      <c r="B68" s="1">
        <f t="shared" si="13"/>
        <v>693</v>
      </c>
      <c r="C68" s="1">
        <f t="shared" si="14"/>
        <v>403</v>
      </c>
      <c r="D68" s="1">
        <f t="shared" si="15"/>
        <v>80787</v>
      </c>
      <c r="E68" s="1">
        <f t="shared" si="12"/>
        <v>1702297</v>
      </c>
      <c r="F68" s="28"/>
    </row>
    <row r="69" spans="1:6" x14ac:dyDescent="0.25">
      <c r="A69" s="1">
        <f t="shared" si="16"/>
        <v>67</v>
      </c>
      <c r="B69" s="1">
        <f t="shared" si="13"/>
        <v>704</v>
      </c>
      <c r="C69" s="1">
        <f t="shared" si="14"/>
        <v>410</v>
      </c>
      <c r="D69" s="1">
        <f t="shared" si="15"/>
        <v>83210</v>
      </c>
      <c r="E69" s="1">
        <f t="shared" si="12"/>
        <v>1785507</v>
      </c>
      <c r="F69" s="28"/>
    </row>
    <row r="70" spans="1:6" x14ac:dyDescent="0.25">
      <c r="A70" s="1">
        <f t="shared" si="16"/>
        <v>68</v>
      </c>
      <c r="B70" s="1">
        <f t="shared" si="13"/>
        <v>715</v>
      </c>
      <c r="C70" s="1">
        <f t="shared" si="14"/>
        <v>417</v>
      </c>
      <c r="D70" s="1">
        <f t="shared" si="15"/>
        <v>85706</v>
      </c>
      <c r="E70" s="1">
        <f t="shared" si="12"/>
        <v>1871213</v>
      </c>
      <c r="F70" s="28"/>
    </row>
    <row r="71" spans="1:6" x14ac:dyDescent="0.25">
      <c r="A71" s="1">
        <f t="shared" si="16"/>
        <v>69</v>
      </c>
      <c r="B71" s="1">
        <f t="shared" si="13"/>
        <v>726</v>
      </c>
      <c r="C71" s="1">
        <f t="shared" si="14"/>
        <v>424</v>
      </c>
      <c r="D71" s="1">
        <f t="shared" si="15"/>
        <v>88277</v>
      </c>
      <c r="E71" s="1">
        <f t="shared" si="12"/>
        <v>1959490</v>
      </c>
      <c r="F71" s="28"/>
    </row>
    <row r="72" spans="1:6" x14ac:dyDescent="0.25">
      <c r="A72" s="1">
        <f t="shared" si="16"/>
        <v>70</v>
      </c>
      <c r="B72" s="1">
        <f t="shared" si="13"/>
        <v>737</v>
      </c>
      <c r="C72" s="1">
        <f t="shared" si="14"/>
        <v>431</v>
      </c>
      <c r="D72" s="1">
        <f t="shared" si="15"/>
        <v>90925</v>
      </c>
      <c r="E72" s="1">
        <f t="shared" si="12"/>
        <v>2050415</v>
      </c>
      <c r="F72" s="28"/>
    </row>
    <row r="73" spans="1:6" x14ac:dyDescent="0.25">
      <c r="A73" s="1">
        <f t="shared" si="16"/>
        <v>71</v>
      </c>
      <c r="B73" s="1">
        <f t="shared" si="13"/>
        <v>748</v>
      </c>
      <c r="C73" s="1">
        <f t="shared" si="14"/>
        <v>438</v>
      </c>
      <c r="D73" s="1">
        <f t="shared" si="15"/>
        <v>93652</v>
      </c>
      <c r="E73" s="1">
        <f t="shared" si="12"/>
        <v>2144067</v>
      </c>
      <c r="F73" s="28"/>
    </row>
    <row r="74" spans="1:6" x14ac:dyDescent="0.25">
      <c r="A74" s="1">
        <f t="shared" si="16"/>
        <v>72</v>
      </c>
      <c r="B74" s="1">
        <f t="shared" si="13"/>
        <v>759</v>
      </c>
      <c r="C74" s="1">
        <f t="shared" si="14"/>
        <v>445</v>
      </c>
      <c r="D74" s="1">
        <f t="shared" si="15"/>
        <v>96461</v>
      </c>
      <c r="E74" s="1">
        <f t="shared" si="12"/>
        <v>2240528</v>
      </c>
      <c r="F74" s="28"/>
    </row>
    <row r="75" spans="1:6" x14ac:dyDescent="0.25">
      <c r="A75" s="1">
        <f t="shared" si="16"/>
        <v>73</v>
      </c>
      <c r="B75" s="1">
        <f t="shared" si="13"/>
        <v>770</v>
      </c>
      <c r="C75" s="1">
        <f t="shared" si="14"/>
        <v>452</v>
      </c>
      <c r="D75" s="1">
        <f t="shared" si="15"/>
        <v>99354</v>
      </c>
      <c r="E75" s="1">
        <f t="shared" si="12"/>
        <v>2339882</v>
      </c>
      <c r="F75" s="28"/>
    </row>
    <row r="76" spans="1:6" x14ac:dyDescent="0.25">
      <c r="A76" s="1">
        <f t="shared" si="16"/>
        <v>74</v>
      </c>
      <c r="B76" s="1">
        <f t="shared" si="13"/>
        <v>781</v>
      </c>
      <c r="C76" s="1">
        <f t="shared" si="14"/>
        <v>459</v>
      </c>
      <c r="D76" s="1">
        <f t="shared" si="15"/>
        <v>102334</v>
      </c>
      <c r="E76" s="1">
        <f t="shared" si="12"/>
        <v>2442216</v>
      </c>
      <c r="F76" s="28"/>
    </row>
    <row r="77" spans="1:6" x14ac:dyDescent="0.25">
      <c r="A77" s="1">
        <f t="shared" si="16"/>
        <v>75</v>
      </c>
      <c r="B77" s="1">
        <f t="shared" si="13"/>
        <v>792</v>
      </c>
      <c r="C77" s="1">
        <f t="shared" si="14"/>
        <v>466</v>
      </c>
      <c r="D77" s="1">
        <f t="shared" si="15"/>
        <v>105404</v>
      </c>
      <c r="E77" s="1">
        <f t="shared" si="12"/>
        <v>2547620</v>
      </c>
      <c r="F77" s="28"/>
    </row>
    <row r="78" spans="1:6" x14ac:dyDescent="0.25">
      <c r="A78" s="1">
        <f t="shared" si="16"/>
        <v>76</v>
      </c>
      <c r="B78" s="1">
        <f t="shared" si="13"/>
        <v>803</v>
      </c>
      <c r="C78" s="1">
        <f t="shared" si="14"/>
        <v>473</v>
      </c>
      <c r="D78" s="1">
        <f t="shared" si="15"/>
        <v>108566</v>
      </c>
      <c r="E78" s="1">
        <f t="shared" si="12"/>
        <v>2656186</v>
      </c>
      <c r="F78" s="28"/>
    </row>
    <row r="79" spans="1:6" x14ac:dyDescent="0.25">
      <c r="A79" s="1">
        <f t="shared" si="16"/>
        <v>77</v>
      </c>
      <c r="B79" s="1">
        <f t="shared" si="13"/>
        <v>814</v>
      </c>
      <c r="C79" s="1">
        <f t="shared" si="14"/>
        <v>480</v>
      </c>
      <c r="D79" s="1">
        <f t="shared" si="15"/>
        <v>111822</v>
      </c>
      <c r="E79" s="1">
        <f t="shared" si="12"/>
        <v>2768008</v>
      </c>
      <c r="F79" s="28"/>
    </row>
    <row r="80" spans="1:6" x14ac:dyDescent="0.25">
      <c r="A80" s="1">
        <f t="shared" si="16"/>
        <v>78</v>
      </c>
      <c r="B80" s="1">
        <f t="shared" si="13"/>
        <v>825</v>
      </c>
      <c r="C80" s="1">
        <f t="shared" si="14"/>
        <v>487</v>
      </c>
      <c r="D80" s="1">
        <f t="shared" si="15"/>
        <v>115176</v>
      </c>
      <c r="E80" s="1">
        <f t="shared" si="12"/>
        <v>2883184</v>
      </c>
      <c r="F80" s="28"/>
    </row>
    <row r="81" spans="1:6" x14ac:dyDescent="0.25">
      <c r="A81" s="1">
        <f t="shared" si="16"/>
        <v>79</v>
      </c>
      <c r="B81" s="1">
        <f t="shared" si="13"/>
        <v>836</v>
      </c>
      <c r="C81" s="1">
        <f t="shared" si="14"/>
        <v>494</v>
      </c>
      <c r="D81" s="1">
        <f t="shared" si="15"/>
        <v>118631</v>
      </c>
      <c r="E81" s="1">
        <f t="shared" si="12"/>
        <v>3001815</v>
      </c>
      <c r="F81" s="28"/>
    </row>
    <row r="82" spans="1:6" x14ac:dyDescent="0.25">
      <c r="A82" s="1">
        <f t="shared" si="16"/>
        <v>80</v>
      </c>
      <c r="B82" s="1">
        <f t="shared" si="13"/>
        <v>847</v>
      </c>
      <c r="C82" s="1">
        <f t="shared" si="14"/>
        <v>501</v>
      </c>
      <c r="D82" s="1">
        <f t="shared" si="15"/>
        <v>122189</v>
      </c>
      <c r="E82" s="1">
        <f t="shared" si="12"/>
        <v>3124004</v>
      </c>
      <c r="F82" s="28"/>
    </row>
    <row r="83" spans="1:6" x14ac:dyDescent="0.25">
      <c r="A83" s="1">
        <f t="shared" si="16"/>
        <v>81</v>
      </c>
      <c r="B83" s="1">
        <f t="shared" si="13"/>
        <v>858</v>
      </c>
      <c r="C83" s="1">
        <f t="shared" si="14"/>
        <v>508</v>
      </c>
      <c r="D83" s="1">
        <f t="shared" si="15"/>
        <v>125854</v>
      </c>
      <c r="E83" s="1">
        <f t="shared" si="12"/>
        <v>3249858</v>
      </c>
      <c r="F83" s="28"/>
    </row>
    <row r="84" spans="1:6" x14ac:dyDescent="0.25">
      <c r="A84" s="1">
        <f t="shared" si="16"/>
        <v>82</v>
      </c>
      <c r="B84" s="1">
        <f t="shared" si="13"/>
        <v>869</v>
      </c>
      <c r="C84" s="1">
        <f t="shared" si="14"/>
        <v>515</v>
      </c>
      <c r="D84" s="1">
        <f t="shared" si="15"/>
        <v>129629</v>
      </c>
      <c r="E84" s="1">
        <f t="shared" si="12"/>
        <v>3379487</v>
      </c>
      <c r="F84" s="28"/>
    </row>
    <row r="85" spans="1:6" x14ac:dyDescent="0.25">
      <c r="A85" s="1">
        <f t="shared" si="16"/>
        <v>83</v>
      </c>
      <c r="B85" s="1">
        <f t="shared" si="13"/>
        <v>880</v>
      </c>
      <c r="C85" s="1">
        <f t="shared" si="14"/>
        <v>522</v>
      </c>
      <c r="D85" s="1">
        <f t="shared" si="15"/>
        <v>133517</v>
      </c>
      <c r="E85" s="1">
        <f t="shared" si="12"/>
        <v>3513004</v>
      </c>
      <c r="F85" s="28"/>
    </row>
    <row r="86" spans="1:6" x14ac:dyDescent="0.25">
      <c r="A86" s="1">
        <f>A85+1</f>
        <v>84</v>
      </c>
      <c r="B86" s="1">
        <f t="shared" si="13"/>
        <v>891</v>
      </c>
      <c r="C86" s="1">
        <f t="shared" si="14"/>
        <v>529</v>
      </c>
      <c r="D86" s="1">
        <f t="shared" si="15"/>
        <v>137522</v>
      </c>
      <c r="E86" s="1">
        <f t="shared" si="12"/>
        <v>3650526</v>
      </c>
      <c r="F86" s="28"/>
    </row>
    <row r="87" spans="1:6" x14ac:dyDescent="0.25">
      <c r="A87" s="1">
        <f>A86+1</f>
        <v>85</v>
      </c>
      <c r="B87" s="1">
        <f t="shared" si="13"/>
        <v>902</v>
      </c>
      <c r="C87" s="1">
        <f t="shared" si="14"/>
        <v>536</v>
      </c>
      <c r="D87" s="1">
        <f t="shared" si="15"/>
        <v>141647</v>
      </c>
      <c r="E87" s="1">
        <f t="shared" si="12"/>
        <v>3792173</v>
      </c>
      <c r="F87" s="28"/>
    </row>
    <row r="88" spans="1:6" x14ac:dyDescent="0.25">
      <c r="A88" s="1">
        <f t="shared" ref="A88:A101" si="17">A87+1</f>
        <v>86</v>
      </c>
      <c r="B88" s="1">
        <f t="shared" si="13"/>
        <v>913</v>
      </c>
      <c r="C88" s="1">
        <f t="shared" si="14"/>
        <v>543</v>
      </c>
      <c r="D88" s="1">
        <f t="shared" si="15"/>
        <v>145896</v>
      </c>
      <c r="E88" s="1">
        <f t="shared" si="12"/>
        <v>3938069</v>
      </c>
      <c r="F88" s="28"/>
    </row>
    <row r="89" spans="1:6" x14ac:dyDescent="0.25">
      <c r="A89" s="1">
        <f t="shared" si="17"/>
        <v>87</v>
      </c>
      <c r="B89" s="1">
        <f t="shared" si="13"/>
        <v>924</v>
      </c>
      <c r="C89" s="1">
        <f t="shared" si="14"/>
        <v>550</v>
      </c>
      <c r="D89" s="1">
        <f t="shared" si="15"/>
        <v>150272</v>
      </c>
      <c r="E89" s="1">
        <f t="shared" ref="E89:E101" si="18">D89+E88</f>
        <v>4088341</v>
      </c>
      <c r="F89" s="28"/>
    </row>
    <row r="90" spans="1:6" x14ac:dyDescent="0.25">
      <c r="A90" s="1">
        <f t="shared" si="17"/>
        <v>88</v>
      </c>
      <c r="B90" s="1">
        <f t="shared" si="13"/>
        <v>935</v>
      </c>
      <c r="C90" s="1">
        <f t="shared" si="14"/>
        <v>557</v>
      </c>
      <c r="D90" s="1">
        <f t="shared" si="15"/>
        <v>154780</v>
      </c>
      <c r="E90" s="1">
        <f t="shared" si="18"/>
        <v>4243121</v>
      </c>
      <c r="F90" s="28"/>
    </row>
    <row r="91" spans="1:6" x14ac:dyDescent="0.25">
      <c r="A91" s="1">
        <f t="shared" si="17"/>
        <v>89</v>
      </c>
      <c r="B91" s="1">
        <f t="shared" si="13"/>
        <v>946</v>
      </c>
      <c r="C91" s="1">
        <f t="shared" si="14"/>
        <v>564</v>
      </c>
      <c r="D91" s="1">
        <f t="shared" si="15"/>
        <v>159423</v>
      </c>
      <c r="E91" s="1">
        <f t="shared" si="18"/>
        <v>4402544</v>
      </c>
      <c r="F91" s="28"/>
    </row>
    <row r="92" spans="1:6" x14ac:dyDescent="0.25">
      <c r="A92" s="1">
        <f t="shared" si="17"/>
        <v>90</v>
      </c>
      <c r="B92" s="1">
        <f t="shared" si="13"/>
        <v>957</v>
      </c>
      <c r="C92" s="1">
        <f t="shared" si="14"/>
        <v>571</v>
      </c>
      <c r="D92" s="1">
        <f t="shared" si="15"/>
        <v>164205</v>
      </c>
      <c r="E92" s="1">
        <f t="shared" si="18"/>
        <v>4566749</v>
      </c>
      <c r="F92" s="28"/>
    </row>
    <row r="93" spans="1:6" x14ac:dyDescent="0.25">
      <c r="A93" s="1">
        <f t="shared" si="17"/>
        <v>91</v>
      </c>
      <c r="B93" s="1">
        <f t="shared" si="13"/>
        <v>968</v>
      </c>
      <c r="C93" s="1">
        <f t="shared" si="14"/>
        <v>578</v>
      </c>
      <c r="D93" s="1">
        <f t="shared" si="15"/>
        <v>169131</v>
      </c>
      <c r="E93" s="1">
        <f t="shared" si="18"/>
        <v>4735880</v>
      </c>
      <c r="F93" s="28"/>
    </row>
    <row r="94" spans="1:6" x14ac:dyDescent="0.25">
      <c r="A94" s="1">
        <f t="shared" si="17"/>
        <v>92</v>
      </c>
      <c r="B94" s="1">
        <f t="shared" si="13"/>
        <v>979</v>
      </c>
      <c r="C94" s="1">
        <f t="shared" si="14"/>
        <v>585</v>
      </c>
      <c r="D94" s="1">
        <f t="shared" si="15"/>
        <v>174204</v>
      </c>
      <c r="E94" s="1">
        <f t="shared" si="18"/>
        <v>4910084</v>
      </c>
      <c r="F94" s="28"/>
    </row>
    <row r="95" spans="1:6" x14ac:dyDescent="0.25">
      <c r="A95" s="1">
        <f t="shared" si="17"/>
        <v>93</v>
      </c>
      <c r="B95" s="1">
        <f t="shared" si="13"/>
        <v>990</v>
      </c>
      <c r="C95" s="1">
        <f t="shared" si="14"/>
        <v>592</v>
      </c>
      <c r="D95" s="1">
        <f t="shared" si="15"/>
        <v>179430</v>
      </c>
      <c r="E95" s="1">
        <f t="shared" si="18"/>
        <v>5089514</v>
      </c>
      <c r="F95" s="28"/>
    </row>
    <row r="96" spans="1:6" x14ac:dyDescent="0.25">
      <c r="A96" s="1">
        <f t="shared" si="17"/>
        <v>94</v>
      </c>
      <c r="B96" s="1">
        <f t="shared" si="13"/>
        <v>1001</v>
      </c>
      <c r="C96" s="1">
        <f t="shared" si="14"/>
        <v>599</v>
      </c>
      <c r="D96" s="1">
        <f t="shared" si="15"/>
        <v>184812</v>
      </c>
      <c r="E96" s="1">
        <f t="shared" si="18"/>
        <v>5274326</v>
      </c>
      <c r="F96" s="28"/>
    </row>
    <row r="97" spans="1:6" x14ac:dyDescent="0.25">
      <c r="A97" s="1">
        <f t="shared" si="17"/>
        <v>95</v>
      </c>
      <c r="B97" s="1">
        <f t="shared" si="13"/>
        <v>1012</v>
      </c>
      <c r="C97" s="1">
        <f t="shared" si="14"/>
        <v>606</v>
      </c>
      <c r="D97" s="1">
        <f t="shared" si="15"/>
        <v>190356</v>
      </c>
      <c r="E97" s="1">
        <f t="shared" si="18"/>
        <v>5464682</v>
      </c>
      <c r="F97" s="28"/>
    </row>
    <row r="98" spans="1:6" x14ac:dyDescent="0.25">
      <c r="A98" s="1">
        <f t="shared" si="17"/>
        <v>96</v>
      </c>
      <c r="B98" s="1">
        <f t="shared" si="13"/>
        <v>1023</v>
      </c>
      <c r="C98" s="1">
        <f t="shared" si="14"/>
        <v>613</v>
      </c>
      <c r="D98" s="1">
        <f t="shared" si="15"/>
        <v>196066</v>
      </c>
      <c r="E98" s="1">
        <f t="shared" si="18"/>
        <v>5660748</v>
      </c>
      <c r="F98" s="28"/>
    </row>
    <row r="99" spans="1:6" x14ac:dyDescent="0.25">
      <c r="A99" s="1">
        <f t="shared" si="17"/>
        <v>97</v>
      </c>
      <c r="B99" s="1">
        <f t="shared" si="13"/>
        <v>1034</v>
      </c>
      <c r="C99" s="1">
        <f t="shared" si="14"/>
        <v>620</v>
      </c>
      <c r="D99" s="1">
        <f t="shared" si="15"/>
        <v>201947</v>
      </c>
      <c r="E99" s="1">
        <f t="shared" si="18"/>
        <v>5862695</v>
      </c>
      <c r="F99" s="28"/>
    </row>
    <row r="100" spans="1:6" x14ac:dyDescent="0.25">
      <c r="A100" s="1">
        <f t="shared" si="17"/>
        <v>98</v>
      </c>
      <c r="B100" s="1">
        <f t="shared" si="13"/>
        <v>1045</v>
      </c>
      <c r="C100" s="1">
        <f t="shared" si="14"/>
        <v>627</v>
      </c>
      <c r="D100" s="1">
        <f t="shared" si="15"/>
        <v>208005</v>
      </c>
      <c r="E100" s="1">
        <f t="shared" si="18"/>
        <v>6070700</v>
      </c>
      <c r="F100" s="28"/>
    </row>
    <row r="101" spans="1:6" x14ac:dyDescent="0.25">
      <c r="A101" s="1">
        <f t="shared" si="17"/>
        <v>99</v>
      </c>
      <c r="B101" s="1">
        <f t="shared" si="13"/>
        <v>1056</v>
      </c>
      <c r="C101" s="1">
        <f t="shared" si="14"/>
        <v>634</v>
      </c>
      <c r="D101" s="1">
        <f t="shared" si="15"/>
        <v>214245</v>
      </c>
      <c r="E101" s="1">
        <f t="shared" si="18"/>
        <v>6284945</v>
      </c>
      <c r="F101" s="28"/>
    </row>
  </sheetData>
  <mergeCells count="4">
    <mergeCell ref="F3:F22"/>
    <mergeCell ref="F23:F45"/>
    <mergeCell ref="F46:F62"/>
    <mergeCell ref="F63:F10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AA0E8-4612-49A3-9CD4-2D5734B3DCEA}">
  <dimension ref="A1:W44"/>
  <sheetViews>
    <sheetView topLeftCell="H3" zoomScale="115" zoomScaleNormal="115" workbookViewId="0">
      <selection activeCell="Q25" sqref="Q25"/>
    </sheetView>
  </sheetViews>
  <sheetFormatPr defaultRowHeight="15" x14ac:dyDescent="0.25"/>
  <cols>
    <col min="1" max="1" width="25" style="1" customWidth="1"/>
    <col min="2" max="2" width="3" style="1" customWidth="1"/>
    <col min="3" max="3" width="22.5703125" style="1" customWidth="1"/>
    <col min="5" max="5" width="25.140625" customWidth="1"/>
    <col min="6" max="6" width="3.140625" customWidth="1"/>
    <col min="8" max="8" width="16.42578125" customWidth="1"/>
    <col min="9" max="9" width="9.42578125" customWidth="1"/>
    <col min="10" max="10" width="10" customWidth="1"/>
    <col min="11" max="11" width="22.5703125" customWidth="1"/>
    <col min="13" max="13" width="25.140625" style="1" customWidth="1"/>
    <col min="14" max="14" width="3.140625" style="1" customWidth="1"/>
    <col min="15" max="16" width="9.140625" style="1"/>
    <col min="17" max="17" width="22.5703125" style="1" customWidth="1"/>
    <col min="19" max="19" width="24.85546875" customWidth="1"/>
    <col min="20" max="20" width="3" customWidth="1"/>
    <col min="21" max="21" width="12.7109375" customWidth="1"/>
    <col min="22" max="22" width="12.85546875" customWidth="1"/>
    <col min="23" max="23" width="22.5703125" customWidth="1"/>
  </cols>
  <sheetData>
    <row r="1" spans="1:23" ht="24" x14ac:dyDescent="0.4">
      <c r="A1" s="30" t="s">
        <v>14</v>
      </c>
      <c r="B1" s="30"/>
    </row>
    <row r="2" spans="1:23" ht="15.75" thickBot="1" x14ac:dyDescent="0.3"/>
    <row r="3" spans="1:23" ht="15.75" thickBot="1" x14ac:dyDescent="0.3">
      <c r="A3" s="31" t="s">
        <v>7</v>
      </c>
      <c r="B3" s="32"/>
      <c r="C3" s="18" t="s">
        <v>15</v>
      </c>
      <c r="E3" s="31" t="s">
        <v>7</v>
      </c>
      <c r="F3" s="32"/>
      <c r="G3" s="17" t="s">
        <v>8</v>
      </c>
      <c r="H3" s="17" t="s">
        <v>10</v>
      </c>
      <c r="I3" s="17" t="s">
        <v>81</v>
      </c>
      <c r="J3" s="17" t="s">
        <v>117</v>
      </c>
      <c r="K3" s="18" t="s">
        <v>15</v>
      </c>
      <c r="M3" s="31" t="s">
        <v>7</v>
      </c>
      <c r="N3" s="32"/>
      <c r="O3" s="17" t="s">
        <v>8</v>
      </c>
      <c r="P3" s="17" t="s">
        <v>81</v>
      </c>
      <c r="Q3" s="18" t="s">
        <v>15</v>
      </c>
      <c r="S3" s="31" t="s">
        <v>7</v>
      </c>
      <c r="T3" s="32"/>
      <c r="U3" s="17" t="s">
        <v>8</v>
      </c>
      <c r="V3" s="17" t="s">
        <v>95</v>
      </c>
      <c r="W3" s="18" t="s">
        <v>15</v>
      </c>
    </row>
    <row r="4" spans="1:23" x14ac:dyDescent="0.25">
      <c r="A4" s="8" t="s">
        <v>22</v>
      </c>
      <c r="B4" s="9">
        <v>1</v>
      </c>
      <c r="C4" s="10" t="s">
        <v>12</v>
      </c>
      <c r="E4" s="8" t="s">
        <v>33</v>
      </c>
      <c r="F4" s="9">
        <v>1</v>
      </c>
      <c r="G4" s="19" t="s">
        <v>10</v>
      </c>
      <c r="H4" s="9" t="s">
        <v>34</v>
      </c>
      <c r="I4" s="9">
        <v>44</v>
      </c>
      <c r="J4" s="9" t="s">
        <v>118</v>
      </c>
      <c r="K4" s="10" t="s">
        <v>4</v>
      </c>
      <c r="M4" s="8" t="s">
        <v>80</v>
      </c>
      <c r="N4" s="9">
        <v>1</v>
      </c>
      <c r="O4" s="12" t="s">
        <v>11</v>
      </c>
      <c r="P4" s="9">
        <v>4</v>
      </c>
      <c r="Q4" s="10" t="s">
        <v>17</v>
      </c>
      <c r="S4" s="8" t="s">
        <v>94</v>
      </c>
      <c r="T4" s="9">
        <v>1</v>
      </c>
      <c r="U4" s="14" t="s">
        <v>93</v>
      </c>
      <c r="V4" s="16" t="s">
        <v>96</v>
      </c>
      <c r="W4" s="10" t="s">
        <v>4</v>
      </c>
    </row>
    <row r="5" spans="1:23" x14ac:dyDescent="0.25">
      <c r="A5" s="3" t="s">
        <v>21</v>
      </c>
      <c r="B5" s="1">
        <v>1</v>
      </c>
      <c r="C5" s="4" t="s">
        <v>12</v>
      </c>
      <c r="E5" s="3" t="s">
        <v>146</v>
      </c>
      <c r="F5" s="1">
        <v>3</v>
      </c>
      <c r="G5" s="21" t="s">
        <v>10</v>
      </c>
      <c r="H5" s="1" t="s">
        <v>147</v>
      </c>
      <c r="I5" s="1">
        <v>70</v>
      </c>
      <c r="J5" s="1" t="s">
        <v>118</v>
      </c>
      <c r="K5" s="4" t="s">
        <v>26</v>
      </c>
      <c r="M5" s="3" t="s">
        <v>82</v>
      </c>
      <c r="N5" s="1">
        <v>1</v>
      </c>
      <c r="O5" s="20" t="s">
        <v>11</v>
      </c>
      <c r="P5" s="1">
        <v>13</v>
      </c>
      <c r="Q5" s="4" t="s">
        <v>4</v>
      </c>
      <c r="S5" s="3" t="s">
        <v>97</v>
      </c>
      <c r="T5" s="1">
        <v>1</v>
      </c>
      <c r="U5" s="23" t="s">
        <v>93</v>
      </c>
      <c r="V5" s="22" t="s">
        <v>98</v>
      </c>
      <c r="W5" s="4" t="s">
        <v>4</v>
      </c>
    </row>
    <row r="6" spans="1:23" x14ac:dyDescent="0.25">
      <c r="A6" s="3" t="s">
        <v>28</v>
      </c>
      <c r="B6" s="1">
        <v>1</v>
      </c>
      <c r="C6" s="4" t="s">
        <v>12</v>
      </c>
      <c r="E6" s="3" t="s">
        <v>189</v>
      </c>
      <c r="F6" s="1">
        <v>4</v>
      </c>
      <c r="G6" s="21" t="s">
        <v>10</v>
      </c>
      <c r="H6" s="1" t="s">
        <v>190</v>
      </c>
      <c r="I6" s="1">
        <v>120</v>
      </c>
      <c r="J6" s="1" t="s">
        <v>118</v>
      </c>
      <c r="K6" s="4" t="s">
        <v>26</v>
      </c>
      <c r="M6" s="3" t="s">
        <v>133</v>
      </c>
      <c r="N6" s="1">
        <v>1</v>
      </c>
      <c r="O6" s="20" t="s">
        <v>11</v>
      </c>
      <c r="P6" s="1">
        <v>39</v>
      </c>
      <c r="Q6" s="4" t="s">
        <v>26</v>
      </c>
      <c r="S6" s="3" t="s">
        <v>99</v>
      </c>
      <c r="T6" s="1">
        <v>2</v>
      </c>
      <c r="U6" s="23" t="s">
        <v>93</v>
      </c>
      <c r="V6" s="22" t="s">
        <v>100</v>
      </c>
      <c r="W6" s="4" t="s">
        <v>4</v>
      </c>
    </row>
    <row r="7" spans="1:23" x14ac:dyDescent="0.25">
      <c r="A7" s="3" t="s">
        <v>145</v>
      </c>
      <c r="B7" s="1">
        <v>1</v>
      </c>
      <c r="C7" s="4" t="s">
        <v>26</v>
      </c>
      <c r="E7" s="3" t="s">
        <v>45</v>
      </c>
      <c r="F7" s="1">
        <v>1</v>
      </c>
      <c r="G7" s="21" t="s">
        <v>10</v>
      </c>
      <c r="H7" s="1" t="s">
        <v>46</v>
      </c>
      <c r="I7" s="1">
        <v>44</v>
      </c>
      <c r="J7" s="1" t="s">
        <v>122</v>
      </c>
      <c r="K7" s="4" t="s">
        <v>12</v>
      </c>
      <c r="M7" s="3" t="s">
        <v>83</v>
      </c>
      <c r="N7" s="1">
        <v>2</v>
      </c>
      <c r="O7" s="20" t="s">
        <v>11</v>
      </c>
      <c r="P7" s="1">
        <v>21</v>
      </c>
      <c r="Q7" s="4" t="s">
        <v>4</v>
      </c>
      <c r="S7" s="3" t="s">
        <v>101</v>
      </c>
      <c r="T7" s="1">
        <v>2</v>
      </c>
      <c r="U7" s="23" t="s">
        <v>93</v>
      </c>
      <c r="V7" s="22" t="s">
        <v>102</v>
      </c>
      <c r="W7" s="4" t="s">
        <v>4</v>
      </c>
    </row>
    <row r="8" spans="1:23" x14ac:dyDescent="0.25">
      <c r="A8" s="3" t="s">
        <v>24</v>
      </c>
      <c r="B8" s="1">
        <v>1</v>
      </c>
      <c r="C8" s="4" t="s">
        <v>26</v>
      </c>
      <c r="E8" s="3" t="s">
        <v>63</v>
      </c>
      <c r="F8" s="1">
        <v>2</v>
      </c>
      <c r="G8" s="21" t="s">
        <v>10</v>
      </c>
      <c r="H8" s="1" t="s">
        <v>64</v>
      </c>
      <c r="I8" s="1">
        <v>35</v>
      </c>
      <c r="J8" s="1" t="s">
        <v>122</v>
      </c>
      <c r="K8" s="4" t="s">
        <v>12</v>
      </c>
      <c r="M8" s="3" t="s">
        <v>87</v>
      </c>
      <c r="N8" s="1">
        <v>2</v>
      </c>
      <c r="O8" s="20" t="s">
        <v>11</v>
      </c>
      <c r="P8" s="1">
        <v>56</v>
      </c>
      <c r="Q8" s="4" t="s">
        <v>12</v>
      </c>
      <c r="S8" s="3" t="s">
        <v>103</v>
      </c>
      <c r="T8" s="1">
        <v>3</v>
      </c>
      <c r="U8" s="23" t="s">
        <v>93</v>
      </c>
      <c r="V8" s="22" t="s">
        <v>104</v>
      </c>
      <c r="W8" s="4" t="s">
        <v>4</v>
      </c>
    </row>
    <row r="9" spans="1:23" x14ac:dyDescent="0.25">
      <c r="A9" s="3" t="s">
        <v>18</v>
      </c>
      <c r="B9" s="1">
        <v>1</v>
      </c>
      <c r="C9" s="4" t="s">
        <v>4</v>
      </c>
      <c r="E9" s="3" t="s">
        <v>67</v>
      </c>
      <c r="F9" s="1">
        <v>4</v>
      </c>
      <c r="G9" s="21" t="s">
        <v>10</v>
      </c>
      <c r="H9" s="1" t="s">
        <v>68</v>
      </c>
      <c r="I9" s="1">
        <v>56</v>
      </c>
      <c r="J9" s="1" t="s">
        <v>122</v>
      </c>
      <c r="K9" s="4" t="s">
        <v>12</v>
      </c>
      <c r="M9" s="3" t="s">
        <v>132</v>
      </c>
      <c r="N9" s="1">
        <v>2</v>
      </c>
      <c r="O9" s="20" t="s">
        <v>11</v>
      </c>
      <c r="P9" s="1">
        <v>73</v>
      </c>
      <c r="Q9" s="4" t="s">
        <v>26</v>
      </c>
      <c r="S9" s="3" t="s">
        <v>105</v>
      </c>
      <c r="T9" s="1">
        <v>3</v>
      </c>
      <c r="U9" s="23" t="s">
        <v>93</v>
      </c>
      <c r="V9" s="22" t="s">
        <v>106</v>
      </c>
      <c r="W9" s="4" t="s">
        <v>12</v>
      </c>
    </row>
    <row r="10" spans="1:23" x14ac:dyDescent="0.25">
      <c r="A10" s="3" t="s">
        <v>16</v>
      </c>
      <c r="B10" s="1">
        <v>1</v>
      </c>
      <c r="C10" s="4" t="s">
        <v>4</v>
      </c>
      <c r="E10" s="3" t="s">
        <v>191</v>
      </c>
      <c r="F10" s="1">
        <v>4</v>
      </c>
      <c r="G10" s="21" t="s">
        <v>10</v>
      </c>
      <c r="H10" s="1" t="s">
        <v>192</v>
      </c>
      <c r="I10" s="1">
        <v>120</v>
      </c>
      <c r="J10" s="1" t="s">
        <v>122</v>
      </c>
      <c r="K10" s="4" t="s">
        <v>26</v>
      </c>
      <c r="M10" s="3" t="s">
        <v>84</v>
      </c>
      <c r="N10" s="1">
        <v>3</v>
      </c>
      <c r="O10" s="20" t="s">
        <v>11</v>
      </c>
      <c r="P10" s="1">
        <v>36</v>
      </c>
      <c r="Q10" s="4" t="s">
        <v>4</v>
      </c>
      <c r="S10" s="3" t="s">
        <v>107</v>
      </c>
      <c r="T10" s="1">
        <v>3</v>
      </c>
      <c r="U10" s="23" t="s">
        <v>93</v>
      </c>
      <c r="V10" s="1" t="s">
        <v>108</v>
      </c>
      <c r="W10" s="4" t="s">
        <v>12</v>
      </c>
    </row>
    <row r="11" spans="1:23" x14ac:dyDescent="0.25">
      <c r="A11" s="3" t="s">
        <v>29</v>
      </c>
      <c r="B11" s="1">
        <v>2</v>
      </c>
      <c r="C11" s="4" t="s">
        <v>12</v>
      </c>
      <c r="E11" s="3" t="s">
        <v>76</v>
      </c>
      <c r="F11" s="1">
        <v>2</v>
      </c>
      <c r="G11" s="21" t="s">
        <v>10</v>
      </c>
      <c r="H11" s="1" t="s">
        <v>77</v>
      </c>
      <c r="I11" s="1">
        <v>32</v>
      </c>
      <c r="J11" s="1" t="s">
        <v>124</v>
      </c>
      <c r="K11" s="4" t="s">
        <v>12</v>
      </c>
      <c r="M11" s="3" t="s">
        <v>85</v>
      </c>
      <c r="N11" s="1">
        <v>3</v>
      </c>
      <c r="O11" s="20" t="s">
        <v>11</v>
      </c>
      <c r="P11" s="1">
        <v>46</v>
      </c>
      <c r="Q11" s="4" t="s">
        <v>4</v>
      </c>
      <c r="S11" s="3" t="s">
        <v>109</v>
      </c>
      <c r="T11" s="1">
        <v>3</v>
      </c>
      <c r="U11" s="23" t="s">
        <v>93</v>
      </c>
      <c r="V11" s="1" t="s">
        <v>110</v>
      </c>
      <c r="W11" s="4" t="s">
        <v>12</v>
      </c>
    </row>
    <row r="12" spans="1:23" x14ac:dyDescent="0.25">
      <c r="A12" s="3" t="s">
        <v>30</v>
      </c>
      <c r="B12" s="1">
        <v>2</v>
      </c>
      <c r="C12" s="4" t="s">
        <v>12</v>
      </c>
      <c r="E12" s="3" t="s">
        <v>40</v>
      </c>
      <c r="F12" s="1">
        <v>3</v>
      </c>
      <c r="G12" s="21" t="s">
        <v>10</v>
      </c>
      <c r="H12" s="1" t="s">
        <v>41</v>
      </c>
      <c r="I12" s="1">
        <v>65</v>
      </c>
      <c r="J12" s="1" t="s">
        <v>124</v>
      </c>
      <c r="K12" s="4" t="s">
        <v>4</v>
      </c>
      <c r="M12" s="3" t="s">
        <v>88</v>
      </c>
      <c r="N12" s="1">
        <v>3</v>
      </c>
      <c r="O12" s="20" t="s">
        <v>11</v>
      </c>
      <c r="P12" s="1">
        <v>71</v>
      </c>
      <c r="Q12" s="4" t="s">
        <v>12</v>
      </c>
      <c r="S12" s="3" t="s">
        <v>111</v>
      </c>
      <c r="T12" s="1">
        <v>4</v>
      </c>
      <c r="U12" s="23" t="s">
        <v>93</v>
      </c>
      <c r="V12" s="24" t="s">
        <v>112</v>
      </c>
      <c r="W12" s="4" t="s">
        <v>12</v>
      </c>
    </row>
    <row r="13" spans="1:23" x14ac:dyDescent="0.25">
      <c r="A13" s="3" t="s">
        <v>176</v>
      </c>
      <c r="B13" s="1">
        <v>2</v>
      </c>
      <c r="C13" s="4" t="s">
        <v>26</v>
      </c>
      <c r="E13" s="3" t="s">
        <v>141</v>
      </c>
      <c r="F13" s="1">
        <v>4</v>
      </c>
      <c r="G13" s="21" t="s">
        <v>10</v>
      </c>
      <c r="H13" s="1" t="s">
        <v>142</v>
      </c>
      <c r="I13" s="1">
        <v>52</v>
      </c>
      <c r="J13" s="1" t="s">
        <v>124</v>
      </c>
      <c r="K13" s="4" t="s">
        <v>4</v>
      </c>
      <c r="M13" s="3" t="s">
        <v>90</v>
      </c>
      <c r="N13" s="1">
        <v>3</v>
      </c>
      <c r="O13" s="20" t="s">
        <v>11</v>
      </c>
      <c r="P13" s="1">
        <v>78</v>
      </c>
      <c r="Q13" s="4" t="s">
        <v>12</v>
      </c>
      <c r="S13" s="3" t="s">
        <v>116</v>
      </c>
      <c r="T13" s="1">
        <v>4</v>
      </c>
      <c r="U13" s="23" t="s">
        <v>93</v>
      </c>
      <c r="V13" s="1" t="s">
        <v>113</v>
      </c>
      <c r="W13" s="4" t="s">
        <v>12</v>
      </c>
    </row>
    <row r="14" spans="1:23" x14ac:dyDescent="0.25">
      <c r="A14" s="3" t="s">
        <v>19</v>
      </c>
      <c r="B14" s="1">
        <v>2</v>
      </c>
      <c r="C14" s="4" t="s">
        <v>4</v>
      </c>
      <c r="E14" s="3" t="s">
        <v>65</v>
      </c>
      <c r="F14" s="1">
        <v>4</v>
      </c>
      <c r="G14" s="21" t="s">
        <v>10</v>
      </c>
      <c r="H14" s="1" t="s">
        <v>66</v>
      </c>
      <c r="I14" s="1">
        <v>105</v>
      </c>
      <c r="J14" s="1" t="s">
        <v>124</v>
      </c>
      <c r="K14" s="4" t="s">
        <v>12</v>
      </c>
      <c r="M14" s="3" t="s">
        <v>89</v>
      </c>
      <c r="N14" s="1">
        <v>3</v>
      </c>
      <c r="O14" s="20" t="s">
        <v>11</v>
      </c>
      <c r="P14" s="1">
        <v>86</v>
      </c>
      <c r="Q14" s="4" t="s">
        <v>12</v>
      </c>
      <c r="S14" s="3" t="s">
        <v>115</v>
      </c>
      <c r="T14" s="1">
        <v>4</v>
      </c>
      <c r="U14" s="23" t="s">
        <v>93</v>
      </c>
      <c r="V14" s="1" t="s">
        <v>114</v>
      </c>
      <c r="W14" s="4" t="s">
        <v>12</v>
      </c>
    </row>
    <row r="15" spans="1:23" x14ac:dyDescent="0.25">
      <c r="A15" s="3" t="s">
        <v>27</v>
      </c>
      <c r="B15" s="1">
        <v>2</v>
      </c>
      <c r="C15" s="4" t="s">
        <v>4</v>
      </c>
      <c r="E15" s="3" t="s">
        <v>165</v>
      </c>
      <c r="F15" s="1">
        <v>5</v>
      </c>
      <c r="G15" s="21" t="s">
        <v>10</v>
      </c>
      <c r="H15" s="1" t="s">
        <v>170</v>
      </c>
      <c r="I15" s="1">
        <v>84</v>
      </c>
      <c r="J15" s="1" t="s">
        <v>124</v>
      </c>
      <c r="K15" s="4" t="s">
        <v>26</v>
      </c>
      <c r="M15" s="3" t="s">
        <v>182</v>
      </c>
      <c r="N15" s="1">
        <v>3</v>
      </c>
      <c r="O15" s="20" t="s">
        <v>11</v>
      </c>
      <c r="P15" s="1">
        <v>108</v>
      </c>
      <c r="Q15" s="4" t="s">
        <v>26</v>
      </c>
      <c r="S15" s="3" t="s">
        <v>153</v>
      </c>
      <c r="T15" s="1">
        <v>4</v>
      </c>
      <c r="U15" s="23" t="s">
        <v>93</v>
      </c>
      <c r="V15" s="22" t="s">
        <v>154</v>
      </c>
      <c r="W15" s="4" t="s">
        <v>26</v>
      </c>
    </row>
    <row r="16" spans="1:23" x14ac:dyDescent="0.25">
      <c r="A16" s="3" t="s">
        <v>25</v>
      </c>
      <c r="B16" s="1">
        <v>2</v>
      </c>
      <c r="C16" s="4" t="s">
        <v>4</v>
      </c>
      <c r="E16" s="3" t="s">
        <v>183</v>
      </c>
      <c r="F16" s="1">
        <v>5</v>
      </c>
      <c r="G16" s="21" t="s">
        <v>10</v>
      </c>
      <c r="H16" s="1" t="s">
        <v>184</v>
      </c>
      <c r="I16" s="1">
        <v>445</v>
      </c>
      <c r="J16" s="1" t="s">
        <v>124</v>
      </c>
      <c r="K16" s="4" t="s">
        <v>26</v>
      </c>
      <c r="M16" s="3" t="s">
        <v>130</v>
      </c>
      <c r="N16" s="1">
        <v>3</v>
      </c>
      <c r="O16" s="20" t="s">
        <v>11</v>
      </c>
      <c r="P16" s="1">
        <v>109</v>
      </c>
      <c r="Q16" s="4" t="s">
        <v>26</v>
      </c>
      <c r="S16" s="3" t="s">
        <v>155</v>
      </c>
      <c r="T16" s="1">
        <v>4</v>
      </c>
      <c r="U16" s="23" t="s">
        <v>93</v>
      </c>
      <c r="V16" s="22" t="s">
        <v>156</v>
      </c>
      <c r="W16" s="4" t="s">
        <v>26</v>
      </c>
    </row>
    <row r="17" spans="1:23" x14ac:dyDescent="0.25">
      <c r="A17" s="3" t="s">
        <v>174</v>
      </c>
      <c r="B17" s="1">
        <v>3</v>
      </c>
      <c r="C17" s="4" t="s">
        <v>12</v>
      </c>
      <c r="E17" s="3" t="s">
        <v>35</v>
      </c>
      <c r="F17" s="1">
        <v>1</v>
      </c>
      <c r="G17" s="21" t="s">
        <v>10</v>
      </c>
      <c r="H17" s="1" t="s">
        <v>36</v>
      </c>
      <c r="I17" s="1">
        <v>40</v>
      </c>
      <c r="J17" s="1" t="s">
        <v>119</v>
      </c>
      <c r="K17" s="4" t="s">
        <v>4</v>
      </c>
      <c r="M17" s="3" t="s">
        <v>173</v>
      </c>
      <c r="N17" s="1">
        <v>3</v>
      </c>
      <c r="O17" s="20" t="s">
        <v>11</v>
      </c>
      <c r="P17" s="1">
        <v>120</v>
      </c>
      <c r="Q17" s="4" t="s">
        <v>26</v>
      </c>
      <c r="S17" s="3" t="s">
        <v>157</v>
      </c>
      <c r="T17" s="1">
        <v>5</v>
      </c>
      <c r="U17" s="23" t="s">
        <v>93</v>
      </c>
      <c r="V17" s="1" t="s">
        <v>158</v>
      </c>
      <c r="W17" s="4" t="s">
        <v>26</v>
      </c>
    </row>
    <row r="18" spans="1:23" x14ac:dyDescent="0.25">
      <c r="A18" s="3" t="s">
        <v>137</v>
      </c>
      <c r="B18" s="1">
        <v>3</v>
      </c>
      <c r="C18" s="4" t="s">
        <v>12</v>
      </c>
      <c r="E18" s="3" t="s">
        <v>37</v>
      </c>
      <c r="F18" s="1">
        <v>2</v>
      </c>
      <c r="G18" s="21" t="s">
        <v>10</v>
      </c>
      <c r="H18" s="1" t="s">
        <v>38</v>
      </c>
      <c r="I18" s="1">
        <v>32</v>
      </c>
      <c r="J18" s="1" t="s">
        <v>119</v>
      </c>
      <c r="K18" s="4" t="s">
        <v>4</v>
      </c>
      <c r="M18" s="3" t="s">
        <v>86</v>
      </c>
      <c r="N18" s="1">
        <v>4</v>
      </c>
      <c r="O18" s="20" t="s">
        <v>11</v>
      </c>
      <c r="P18" s="1">
        <v>67</v>
      </c>
      <c r="Q18" s="4" t="s">
        <v>4</v>
      </c>
      <c r="S18" s="3" t="s">
        <v>198</v>
      </c>
      <c r="T18" s="1">
        <v>5</v>
      </c>
      <c r="U18" s="23" t="s">
        <v>93</v>
      </c>
      <c r="V18" s="1" t="s">
        <v>196</v>
      </c>
      <c r="W18" s="4" t="s">
        <v>26</v>
      </c>
    </row>
    <row r="19" spans="1:23" x14ac:dyDescent="0.25">
      <c r="A19" s="3" t="s">
        <v>138</v>
      </c>
      <c r="B19" s="1">
        <v>3</v>
      </c>
      <c r="C19" s="4" t="s">
        <v>12</v>
      </c>
      <c r="E19" s="3" t="s">
        <v>149</v>
      </c>
      <c r="F19" s="1">
        <v>3</v>
      </c>
      <c r="G19" s="21" t="s">
        <v>10</v>
      </c>
      <c r="H19" s="1" t="s">
        <v>150</v>
      </c>
      <c r="I19" s="1">
        <v>65</v>
      </c>
      <c r="J19" s="1" t="s">
        <v>119</v>
      </c>
      <c r="K19" s="4" t="s">
        <v>12</v>
      </c>
      <c r="M19" s="3" t="s">
        <v>91</v>
      </c>
      <c r="N19" s="1">
        <v>4</v>
      </c>
      <c r="O19" s="20" t="s">
        <v>11</v>
      </c>
      <c r="P19" s="1">
        <v>103</v>
      </c>
      <c r="Q19" s="4" t="s">
        <v>12</v>
      </c>
      <c r="S19" s="3" t="s">
        <v>199</v>
      </c>
      <c r="T19" s="1">
        <v>5</v>
      </c>
      <c r="U19" s="23" t="s">
        <v>93</v>
      </c>
      <c r="V19" s="1" t="s">
        <v>197</v>
      </c>
      <c r="W19" s="4" t="s">
        <v>26</v>
      </c>
    </row>
    <row r="20" spans="1:23" x14ac:dyDescent="0.25">
      <c r="A20" s="3" t="s">
        <v>139</v>
      </c>
      <c r="B20" s="1">
        <v>3</v>
      </c>
      <c r="C20" s="4" t="s">
        <v>12</v>
      </c>
      <c r="E20" s="3" t="s">
        <v>61</v>
      </c>
      <c r="F20" s="1">
        <v>4</v>
      </c>
      <c r="G20" s="21" t="s">
        <v>10</v>
      </c>
      <c r="H20" s="1" t="s">
        <v>62</v>
      </c>
      <c r="I20" s="1">
        <v>52</v>
      </c>
      <c r="J20" s="1" t="s">
        <v>119</v>
      </c>
      <c r="K20" s="4" t="s">
        <v>12</v>
      </c>
      <c r="M20" s="3" t="s">
        <v>92</v>
      </c>
      <c r="N20" s="1">
        <v>4</v>
      </c>
      <c r="O20" s="20" t="s">
        <v>11</v>
      </c>
      <c r="P20" s="1">
        <v>139</v>
      </c>
      <c r="Q20" s="4" t="s">
        <v>12</v>
      </c>
      <c r="S20" s="3" t="s">
        <v>200</v>
      </c>
      <c r="T20" s="1">
        <v>5</v>
      </c>
      <c r="U20" s="23" t="s">
        <v>93</v>
      </c>
      <c r="V20" s="22" t="s">
        <v>201</v>
      </c>
      <c r="W20" s="4" t="s">
        <v>26</v>
      </c>
    </row>
    <row r="21" spans="1:23" ht="15.75" thickBot="1" x14ac:dyDescent="0.3">
      <c r="A21" s="3" t="s">
        <v>140</v>
      </c>
      <c r="B21" s="1">
        <v>3</v>
      </c>
      <c r="C21" s="4" t="s">
        <v>12</v>
      </c>
      <c r="E21" s="3" t="s">
        <v>49</v>
      </c>
      <c r="F21" s="1">
        <v>4</v>
      </c>
      <c r="G21" s="21" t="s">
        <v>10</v>
      </c>
      <c r="H21" s="1" t="s">
        <v>50</v>
      </c>
      <c r="I21" s="1">
        <v>105</v>
      </c>
      <c r="J21" s="1" t="s">
        <v>119</v>
      </c>
      <c r="K21" s="4" t="s">
        <v>12</v>
      </c>
      <c r="M21" s="3" t="s">
        <v>131</v>
      </c>
      <c r="N21" s="1">
        <v>4</v>
      </c>
      <c r="O21" s="20" t="s">
        <v>11</v>
      </c>
      <c r="P21" s="1">
        <v>165</v>
      </c>
      <c r="Q21" s="4" t="s">
        <v>26</v>
      </c>
      <c r="S21" s="5" t="s">
        <v>202</v>
      </c>
      <c r="T21" s="6">
        <v>5</v>
      </c>
      <c r="U21" s="15" t="s">
        <v>93</v>
      </c>
      <c r="V21" s="25" t="s">
        <v>159</v>
      </c>
      <c r="W21" s="7" t="s">
        <v>26</v>
      </c>
    </row>
    <row r="22" spans="1:23" x14ac:dyDescent="0.25">
      <c r="A22" s="3" t="s">
        <v>23</v>
      </c>
      <c r="B22" s="1">
        <v>3</v>
      </c>
      <c r="C22" s="4" t="s">
        <v>12</v>
      </c>
      <c r="E22" s="3" t="s">
        <v>162</v>
      </c>
      <c r="F22" s="1">
        <v>5</v>
      </c>
      <c r="G22" s="21" t="s">
        <v>10</v>
      </c>
      <c r="H22" s="1" t="s">
        <v>167</v>
      </c>
      <c r="I22" s="1">
        <v>84</v>
      </c>
      <c r="J22" s="1" t="s">
        <v>119</v>
      </c>
      <c r="K22" s="4" t="s">
        <v>26</v>
      </c>
      <c r="M22" s="3" t="s">
        <v>180</v>
      </c>
      <c r="N22" s="1">
        <v>5</v>
      </c>
      <c r="O22" s="20" t="s">
        <v>11</v>
      </c>
      <c r="P22" s="1">
        <v>194</v>
      </c>
      <c r="Q22" s="4" t="s">
        <v>26</v>
      </c>
    </row>
    <row r="23" spans="1:23" x14ac:dyDescent="0.25">
      <c r="A23" s="3" t="s">
        <v>194</v>
      </c>
      <c r="B23" s="1">
        <v>3</v>
      </c>
      <c r="C23" s="4" t="s">
        <v>26</v>
      </c>
      <c r="E23" s="3" t="s">
        <v>185</v>
      </c>
      <c r="F23" s="1">
        <v>5</v>
      </c>
      <c r="G23" s="21" t="s">
        <v>10</v>
      </c>
      <c r="H23" s="1" t="s">
        <v>186</v>
      </c>
      <c r="I23" s="1">
        <v>445</v>
      </c>
      <c r="J23" s="1" t="s">
        <v>119</v>
      </c>
      <c r="K23" s="4" t="s">
        <v>26</v>
      </c>
      <c r="M23" s="3" t="s">
        <v>181</v>
      </c>
      <c r="N23" s="1">
        <v>5</v>
      </c>
      <c r="O23" s="20" t="s">
        <v>11</v>
      </c>
      <c r="P23" s="1">
        <v>210</v>
      </c>
      <c r="Q23" s="4" t="s">
        <v>26</v>
      </c>
    </row>
    <row r="24" spans="1:23" ht="15.75" thickBot="1" x14ac:dyDescent="0.3">
      <c r="A24" s="3" t="s">
        <v>175</v>
      </c>
      <c r="B24" s="1">
        <v>3</v>
      </c>
      <c r="C24" s="4" t="s">
        <v>26</v>
      </c>
      <c r="E24" s="3" t="s">
        <v>51</v>
      </c>
      <c r="F24" s="1">
        <v>1</v>
      </c>
      <c r="G24" s="21" t="s">
        <v>10</v>
      </c>
      <c r="H24" s="1" t="s">
        <v>52</v>
      </c>
      <c r="I24" s="1">
        <v>36</v>
      </c>
      <c r="J24" s="1" t="s">
        <v>120</v>
      </c>
      <c r="K24" s="4" t="s">
        <v>4</v>
      </c>
      <c r="M24" s="5" t="s">
        <v>134</v>
      </c>
      <c r="N24" s="6">
        <v>5</v>
      </c>
      <c r="O24" s="13" t="s">
        <v>11</v>
      </c>
      <c r="P24" s="6">
        <v>214</v>
      </c>
      <c r="Q24" s="7" t="s">
        <v>26</v>
      </c>
    </row>
    <row r="25" spans="1:23" x14ac:dyDescent="0.25">
      <c r="A25" s="3" t="s">
        <v>195</v>
      </c>
      <c r="B25" s="1">
        <v>3</v>
      </c>
      <c r="C25" s="4" t="s">
        <v>26</v>
      </c>
      <c r="E25" s="3" t="s">
        <v>53</v>
      </c>
      <c r="F25" s="1">
        <v>2</v>
      </c>
      <c r="G25" s="21" t="s">
        <v>10</v>
      </c>
      <c r="H25" s="1" t="s">
        <v>54</v>
      </c>
      <c r="I25" s="1">
        <v>29</v>
      </c>
      <c r="J25" s="1" t="s">
        <v>120</v>
      </c>
      <c r="K25" s="4" t="s">
        <v>4</v>
      </c>
      <c r="M25" s="1" t="s">
        <v>203</v>
      </c>
      <c r="N25" s="1">
        <v>5</v>
      </c>
      <c r="O25" s="1" t="s">
        <v>11</v>
      </c>
      <c r="P25" s="1">
        <v>224</v>
      </c>
      <c r="Q25" s="1" t="s">
        <v>26</v>
      </c>
    </row>
    <row r="26" spans="1:23" x14ac:dyDescent="0.25">
      <c r="A26" s="3" t="s">
        <v>177</v>
      </c>
      <c r="B26" s="1">
        <v>3</v>
      </c>
      <c r="C26" s="4" t="s">
        <v>26</v>
      </c>
      <c r="E26" s="3" t="s">
        <v>55</v>
      </c>
      <c r="F26" s="1">
        <v>3</v>
      </c>
      <c r="G26" s="21" t="s">
        <v>10</v>
      </c>
      <c r="H26" s="1" t="s">
        <v>56</v>
      </c>
      <c r="I26" s="1">
        <v>60</v>
      </c>
      <c r="J26" s="1" t="s">
        <v>120</v>
      </c>
      <c r="K26" s="4" t="s">
        <v>4</v>
      </c>
    </row>
    <row r="27" spans="1:23" x14ac:dyDescent="0.25">
      <c r="A27" s="3" t="s">
        <v>178</v>
      </c>
      <c r="B27" s="1">
        <v>3</v>
      </c>
      <c r="C27" s="4" t="s">
        <v>26</v>
      </c>
      <c r="E27" s="3" t="s">
        <v>129</v>
      </c>
      <c r="F27" s="1">
        <v>4</v>
      </c>
      <c r="G27" s="21" t="s">
        <v>10</v>
      </c>
      <c r="H27" s="1" t="s">
        <v>9</v>
      </c>
      <c r="I27" s="1">
        <v>95</v>
      </c>
      <c r="J27" s="1" t="s">
        <v>120</v>
      </c>
      <c r="K27" s="4" t="s">
        <v>26</v>
      </c>
    </row>
    <row r="28" spans="1:23" x14ac:dyDescent="0.25">
      <c r="A28" s="3" t="s">
        <v>179</v>
      </c>
      <c r="B28" s="1">
        <v>3</v>
      </c>
      <c r="C28" s="4" t="s">
        <v>26</v>
      </c>
      <c r="E28" s="3" t="s">
        <v>164</v>
      </c>
      <c r="F28" s="1">
        <v>5</v>
      </c>
      <c r="G28" s="21" t="s">
        <v>10</v>
      </c>
      <c r="H28" s="1" t="s">
        <v>169</v>
      </c>
      <c r="I28" s="1">
        <v>76</v>
      </c>
      <c r="J28" s="1" t="s">
        <v>120</v>
      </c>
      <c r="K28" s="4" t="s">
        <v>26</v>
      </c>
    </row>
    <row r="29" spans="1:23" x14ac:dyDescent="0.25">
      <c r="A29" s="3" t="s">
        <v>193</v>
      </c>
      <c r="B29" s="1">
        <v>3</v>
      </c>
      <c r="C29" s="4" t="s">
        <v>26</v>
      </c>
      <c r="E29" s="3" t="s">
        <v>69</v>
      </c>
      <c r="F29" s="1">
        <v>3</v>
      </c>
      <c r="G29" s="21" t="s">
        <v>10</v>
      </c>
      <c r="H29" s="1" t="s">
        <v>70</v>
      </c>
      <c r="I29" s="1">
        <v>98</v>
      </c>
      <c r="J29" s="1" t="s">
        <v>125</v>
      </c>
      <c r="K29" s="4" t="s">
        <v>12</v>
      </c>
    </row>
    <row r="30" spans="1:23" x14ac:dyDescent="0.25">
      <c r="A30" s="3" t="s">
        <v>135</v>
      </c>
      <c r="B30" s="1">
        <v>3</v>
      </c>
      <c r="C30" s="4" t="s">
        <v>4</v>
      </c>
      <c r="E30" s="3" t="s">
        <v>71</v>
      </c>
      <c r="F30" s="1">
        <v>4</v>
      </c>
      <c r="G30" s="21" t="s">
        <v>10</v>
      </c>
      <c r="H30" s="1" t="s">
        <v>72</v>
      </c>
      <c r="I30" s="1">
        <v>174</v>
      </c>
      <c r="J30" s="1" t="s">
        <v>125</v>
      </c>
      <c r="K30" s="4" t="s">
        <v>12</v>
      </c>
    </row>
    <row r="31" spans="1:23" x14ac:dyDescent="0.25">
      <c r="A31" s="3" t="s">
        <v>136</v>
      </c>
      <c r="B31" s="1">
        <v>3</v>
      </c>
      <c r="C31" s="4" t="s">
        <v>4</v>
      </c>
      <c r="E31" s="3" t="s">
        <v>143</v>
      </c>
      <c r="F31" s="1">
        <v>5</v>
      </c>
      <c r="G31" s="21" t="s">
        <v>10</v>
      </c>
      <c r="H31" s="1" t="s">
        <v>144</v>
      </c>
      <c r="I31" s="1">
        <v>269</v>
      </c>
      <c r="J31" s="1" t="s">
        <v>125</v>
      </c>
      <c r="K31" s="4" t="s">
        <v>26</v>
      </c>
    </row>
    <row r="32" spans="1:23" x14ac:dyDescent="0.25">
      <c r="A32" s="3" t="s">
        <v>20</v>
      </c>
      <c r="B32" s="1">
        <v>4</v>
      </c>
      <c r="C32" s="4" t="s">
        <v>4</v>
      </c>
      <c r="E32" s="3" t="s">
        <v>43</v>
      </c>
      <c r="F32" s="1">
        <v>3</v>
      </c>
      <c r="G32" s="21" t="s">
        <v>10</v>
      </c>
      <c r="H32" s="1" t="s">
        <v>44</v>
      </c>
      <c r="I32" s="22" t="s">
        <v>160</v>
      </c>
      <c r="J32" s="1" t="s">
        <v>126</v>
      </c>
      <c r="K32" s="4" t="s">
        <v>4</v>
      </c>
    </row>
    <row r="33" spans="1:11" x14ac:dyDescent="0.25">
      <c r="A33" s="3" t="s">
        <v>31</v>
      </c>
      <c r="B33" s="1">
        <v>5</v>
      </c>
      <c r="C33" s="4" t="s">
        <v>12</v>
      </c>
      <c r="E33" s="3" t="s">
        <v>47</v>
      </c>
      <c r="F33" s="1">
        <v>4</v>
      </c>
      <c r="G33" s="21" t="s">
        <v>10</v>
      </c>
      <c r="H33" s="1" t="s">
        <v>48</v>
      </c>
      <c r="I33" s="22" t="s">
        <v>161</v>
      </c>
      <c r="J33" s="1" t="s">
        <v>126</v>
      </c>
      <c r="K33" s="4" t="s">
        <v>12</v>
      </c>
    </row>
    <row r="34" spans="1:11" x14ac:dyDescent="0.25">
      <c r="A34" s="3" t="s">
        <v>32</v>
      </c>
      <c r="B34" s="1">
        <v>5</v>
      </c>
      <c r="C34" s="4" t="s">
        <v>12</v>
      </c>
      <c r="E34" s="3" t="s">
        <v>151</v>
      </c>
      <c r="F34" s="1">
        <v>5</v>
      </c>
      <c r="G34" s="21" t="s">
        <v>10</v>
      </c>
      <c r="H34" s="1" t="s">
        <v>152</v>
      </c>
      <c r="I34" s="22" t="s">
        <v>159</v>
      </c>
      <c r="J34" s="1" t="s">
        <v>126</v>
      </c>
      <c r="K34" s="4" t="s">
        <v>26</v>
      </c>
    </row>
    <row r="35" spans="1:11" ht="15.75" thickBot="1" x14ac:dyDescent="0.3">
      <c r="A35" s="5" t="s">
        <v>148</v>
      </c>
      <c r="B35" s="6">
        <v>5</v>
      </c>
      <c r="C35" s="7" t="s">
        <v>26</v>
      </c>
      <c r="E35" s="3" t="s">
        <v>78</v>
      </c>
      <c r="F35" s="1">
        <v>2</v>
      </c>
      <c r="G35" s="21" t="s">
        <v>10</v>
      </c>
      <c r="H35" s="1" t="s">
        <v>79</v>
      </c>
      <c r="I35" s="1">
        <v>29</v>
      </c>
      <c r="J35" s="1" t="s">
        <v>123</v>
      </c>
      <c r="K35" s="4" t="s">
        <v>12</v>
      </c>
    </row>
    <row r="36" spans="1:11" x14ac:dyDescent="0.25">
      <c r="E36" s="3" t="s">
        <v>73</v>
      </c>
      <c r="F36" s="1">
        <v>3</v>
      </c>
      <c r="G36" s="21" t="s">
        <v>10</v>
      </c>
      <c r="H36" s="1" t="s">
        <v>74</v>
      </c>
      <c r="I36" s="1">
        <v>60</v>
      </c>
      <c r="J36" s="1" t="s">
        <v>123</v>
      </c>
      <c r="K36" s="4" t="s">
        <v>12</v>
      </c>
    </row>
    <row r="37" spans="1:11" x14ac:dyDescent="0.25">
      <c r="E37" s="3" t="s">
        <v>75</v>
      </c>
      <c r="F37" s="1">
        <v>4</v>
      </c>
      <c r="G37" s="21" t="s">
        <v>10</v>
      </c>
      <c r="H37" s="1" t="s">
        <v>13</v>
      </c>
      <c r="I37" s="1">
        <v>95</v>
      </c>
      <c r="J37" s="1" t="s">
        <v>123</v>
      </c>
      <c r="K37" s="4" t="s">
        <v>12</v>
      </c>
    </row>
    <row r="38" spans="1:11" x14ac:dyDescent="0.25">
      <c r="E38" s="3" t="s">
        <v>163</v>
      </c>
      <c r="F38" s="1">
        <v>5</v>
      </c>
      <c r="G38" s="21" t="s">
        <v>10</v>
      </c>
      <c r="H38" s="1" t="s">
        <v>168</v>
      </c>
      <c r="I38" s="1">
        <v>76</v>
      </c>
      <c r="J38" s="1" t="s">
        <v>123</v>
      </c>
      <c r="K38" s="4" t="s">
        <v>26</v>
      </c>
    </row>
    <row r="39" spans="1:11" x14ac:dyDescent="0.25">
      <c r="E39" s="3" t="s">
        <v>57</v>
      </c>
      <c r="F39" s="1">
        <v>1</v>
      </c>
      <c r="G39" s="21" t="s">
        <v>10</v>
      </c>
      <c r="H39" s="1" t="s">
        <v>58</v>
      </c>
      <c r="I39" s="1">
        <v>36</v>
      </c>
      <c r="J39" s="1" t="s">
        <v>121</v>
      </c>
      <c r="K39" s="4" t="s">
        <v>4</v>
      </c>
    </row>
    <row r="40" spans="1:11" x14ac:dyDescent="0.25">
      <c r="E40" s="3" t="s">
        <v>39</v>
      </c>
      <c r="F40" s="1">
        <v>2</v>
      </c>
      <c r="G40" s="21" t="s">
        <v>10</v>
      </c>
      <c r="H40" s="1" t="s">
        <v>42</v>
      </c>
      <c r="I40" s="1">
        <v>29</v>
      </c>
      <c r="J40" s="1" t="s">
        <v>121</v>
      </c>
      <c r="K40" s="4" t="s">
        <v>4</v>
      </c>
    </row>
    <row r="41" spans="1:11" x14ac:dyDescent="0.25">
      <c r="E41" s="3" t="s">
        <v>59</v>
      </c>
      <c r="F41" s="1">
        <v>3</v>
      </c>
      <c r="G41" s="21" t="s">
        <v>10</v>
      </c>
      <c r="H41" s="1" t="s">
        <v>60</v>
      </c>
      <c r="I41" s="1">
        <v>60</v>
      </c>
      <c r="J41" s="1" t="s">
        <v>121</v>
      </c>
      <c r="K41" s="4" t="s">
        <v>4</v>
      </c>
    </row>
    <row r="42" spans="1:11" x14ac:dyDescent="0.25">
      <c r="E42" s="3" t="s">
        <v>127</v>
      </c>
      <c r="F42" s="1">
        <v>4</v>
      </c>
      <c r="G42" s="21" t="s">
        <v>10</v>
      </c>
      <c r="H42" s="1" t="s">
        <v>128</v>
      </c>
      <c r="I42" s="1">
        <v>95</v>
      </c>
      <c r="J42" s="1" t="s">
        <v>121</v>
      </c>
      <c r="K42" s="4" t="s">
        <v>26</v>
      </c>
    </row>
    <row r="43" spans="1:11" x14ac:dyDescent="0.25">
      <c r="E43" s="3" t="s">
        <v>166</v>
      </c>
      <c r="F43" s="1">
        <v>5</v>
      </c>
      <c r="G43" s="21" t="s">
        <v>10</v>
      </c>
      <c r="H43" s="1" t="s">
        <v>171</v>
      </c>
      <c r="I43" s="1">
        <v>76</v>
      </c>
      <c r="J43" s="1" t="s">
        <v>172</v>
      </c>
      <c r="K43" s="4" t="s">
        <v>26</v>
      </c>
    </row>
    <row r="44" spans="1:11" ht="15.75" thickBot="1" x14ac:dyDescent="0.3">
      <c r="E44" s="5" t="s">
        <v>187</v>
      </c>
      <c r="F44" s="6">
        <v>5</v>
      </c>
      <c r="G44" s="11" t="s">
        <v>10</v>
      </c>
      <c r="H44" s="6" t="s">
        <v>188</v>
      </c>
      <c r="I44" s="6">
        <v>445</v>
      </c>
      <c r="J44" s="6" t="s">
        <v>121</v>
      </c>
      <c r="K44" s="7" t="s">
        <v>26</v>
      </c>
    </row>
  </sheetData>
  <sortState xmlns:xlrd2="http://schemas.microsoft.com/office/spreadsheetml/2017/richdata2" ref="S4:W21">
    <sortCondition ref="T4:T21"/>
  </sortState>
  <mergeCells count="5">
    <mergeCell ref="A1:B1"/>
    <mergeCell ref="A3:B3"/>
    <mergeCell ref="E3:F3"/>
    <mergeCell ref="M3:N3"/>
    <mergeCell ref="S3:T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Levels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2026-05-26T20:27:25Z</dcterms:modified>
</cp:coreProperties>
</file>