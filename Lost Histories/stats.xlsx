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Macko Games WIP\Lost Histories\Lost-Histories\Lost Histories\"/>
    </mc:Choice>
  </mc:AlternateContent>
  <xr:revisionPtr revIDLastSave="0" documentId="13_ncr:1_{A0F947B2-C332-4CDD-BD78-7ED79AFAD49B}" xr6:coauthVersionLast="47" xr6:coauthVersionMax="47" xr10:uidLastSave="{00000000-0000-0000-0000-000000000000}"/>
  <bookViews>
    <workbookView xWindow="-120" yWindow="-120" windowWidth="29040" windowHeight="15840" activeTab="2" xr2:uid="{6EE75E54-00C6-466F-BA17-D4DCF0C1D8C7}"/>
  </bookViews>
  <sheets>
    <sheet name="Levels" sheetId="1" r:id="rId1"/>
    <sheet name="Shopkeeper" sheetId="2" r:id="rId2"/>
    <sheet name="Item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53" i="1"/>
  <c r="D25" i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24" i="1"/>
  <c r="D23" i="1"/>
  <c r="D6" i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5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4" i="1"/>
  <c r="C4" i="1"/>
  <c r="C5" i="1" s="1"/>
  <c r="C6" i="1" s="1"/>
  <c r="C7" i="1" s="1"/>
  <c r="C8" i="1" s="1"/>
  <c r="C9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C10" i="1" l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E5" i="1"/>
  <c r="E6" i="1" l="1"/>
  <c r="E7" i="1" s="1"/>
  <c r="E8" i="1" l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l="1"/>
  <c r="E23" i="1" l="1"/>
  <c r="E24" i="1" l="1"/>
  <c r="E25" i="1" l="1"/>
  <c r="E26" i="1" l="1"/>
  <c r="E27" i="1" l="1"/>
  <c r="E28" i="1" l="1"/>
  <c r="E29" i="1" l="1"/>
  <c r="E30" i="1" l="1"/>
  <c r="E31" i="1" l="1"/>
  <c r="E32" i="1" l="1"/>
  <c r="E33" i="1" l="1"/>
  <c r="E34" i="1" l="1"/>
  <c r="E35" i="1" l="1"/>
  <c r="E36" i="1" l="1"/>
  <c r="E37" i="1" l="1"/>
  <c r="E38" i="1" l="1"/>
  <c r="E39" i="1" l="1"/>
  <c r="E40" i="1" l="1"/>
  <c r="E41" i="1" l="1"/>
  <c r="E42" i="1" l="1"/>
  <c r="E43" i="1" l="1"/>
  <c r="E44" i="1" l="1"/>
  <c r="E45" i="1" l="1"/>
  <c r="E46" i="1" l="1"/>
  <c r="E47" i="1" l="1"/>
  <c r="E48" i="1" l="1"/>
  <c r="E49" i="1" l="1"/>
  <c r="E50" i="1" l="1"/>
  <c r="E51" i="1" l="1"/>
  <c r="E52" i="1" l="1"/>
  <c r="E53" i="1" l="1"/>
  <c r="E54" i="1" l="1"/>
  <c r="E55" i="1" l="1"/>
  <c r="E56" i="1" l="1"/>
  <c r="E57" i="1" l="1"/>
  <c r="E58" i="1" l="1"/>
  <c r="E59" i="1" l="1"/>
  <c r="E60" i="1" l="1"/>
  <c r="E61" i="1" l="1"/>
  <c r="E62" i="1" l="1"/>
  <c r="E63" i="1" l="1"/>
  <c r="E64" i="1" l="1"/>
  <c r="E65" i="1" l="1"/>
  <c r="E66" i="1" l="1"/>
  <c r="E67" i="1" l="1"/>
  <c r="E68" i="1" l="1"/>
  <c r="E69" i="1" l="1"/>
  <c r="E70" i="1" l="1"/>
  <c r="E71" i="1" l="1"/>
  <c r="E72" i="1" l="1"/>
  <c r="E73" i="1" l="1"/>
  <c r="E74" i="1" l="1"/>
  <c r="E75" i="1" l="1"/>
  <c r="E76" i="1" l="1"/>
  <c r="E77" i="1" l="1"/>
  <c r="E78" i="1" l="1"/>
  <c r="E79" i="1" l="1"/>
  <c r="E80" i="1" l="1"/>
  <c r="E81" i="1" l="1"/>
  <c r="E82" i="1" l="1"/>
  <c r="E83" i="1" l="1"/>
  <c r="E84" i="1" l="1"/>
  <c r="E85" i="1" l="1"/>
  <c r="E86" i="1" l="1"/>
  <c r="E87" i="1" l="1"/>
  <c r="E88" i="1" l="1"/>
  <c r="E89" i="1" l="1"/>
  <c r="E90" i="1" l="1"/>
  <c r="E91" i="1" l="1"/>
  <c r="E92" i="1" l="1"/>
  <c r="E93" i="1" l="1"/>
  <c r="E94" i="1" l="1"/>
  <c r="E95" i="1" l="1"/>
  <c r="E96" i="1" l="1"/>
  <c r="E97" i="1" l="1"/>
  <c r="E98" i="1" l="1"/>
  <c r="E99" i="1" l="1"/>
  <c r="E100" i="1" l="1"/>
  <c r="E101" i="1" l="1"/>
</calcChain>
</file>

<file path=xl/sharedStrings.xml><?xml version="1.0" encoding="utf-8"?>
<sst xmlns="http://schemas.openxmlformats.org/spreadsheetml/2006/main" count="400" uniqueCount="199">
  <si>
    <t>Lv</t>
  </si>
  <si>
    <t>EXP Required</t>
  </si>
  <si>
    <t>Total EXP</t>
  </si>
  <si>
    <t>Dungeon</t>
  </si>
  <si>
    <t>Glacier Wasteland</t>
  </si>
  <si>
    <t>HP</t>
  </si>
  <si>
    <t>STA</t>
  </si>
  <si>
    <t>Item</t>
  </si>
  <si>
    <t>Type</t>
  </si>
  <si>
    <t>Dmg/Inherit</t>
  </si>
  <si>
    <t>Required</t>
  </si>
  <si>
    <t>Orb of the Arctic</t>
  </si>
  <si>
    <t>Freezadia</t>
  </si>
  <si>
    <t>Skill</t>
  </si>
  <si>
    <t>x2 Crystalised Flake</t>
  </si>
  <si>
    <t>x5 Ice Shard</t>
  </si>
  <si>
    <t>x10 Ice Core</t>
  </si>
  <si>
    <t>Melee</t>
  </si>
  <si>
    <t>x5 Scratched Coin</t>
  </si>
  <si>
    <t>x5 Foreign Coin</t>
  </si>
  <si>
    <t>Atlantis Ruins</t>
  </si>
  <si>
    <t>4*</t>
  </si>
  <si>
    <t>5*</t>
  </si>
  <si>
    <t>M4 Garand</t>
  </si>
  <si>
    <t>x10 Gun Fragment</t>
  </si>
  <si>
    <t>Snow Sword</t>
  </si>
  <si>
    <t>TRADER</t>
  </si>
  <si>
    <t>Orb of the Ocean</t>
  </si>
  <si>
    <t>x10 Ink Vial</t>
  </si>
  <si>
    <t>x5 Squid Head</t>
  </si>
  <si>
    <t>x3 Ice Shard</t>
  </si>
  <si>
    <t>x8 Ice Core</t>
  </si>
  <si>
    <t>x10 Water Balloon</t>
  </si>
  <si>
    <t>Diamond Sword</t>
  </si>
  <si>
    <t>x2 Diamond</t>
  </si>
  <si>
    <t>x3 Chipped Diamond</t>
  </si>
  <si>
    <t>Junk Stick</t>
  </si>
  <si>
    <t>3*</t>
  </si>
  <si>
    <t>x3 Thawn Bandage</t>
  </si>
  <si>
    <t>x3 Foreign Coin</t>
  </si>
  <si>
    <t>x3 Ripped Shoes</t>
  </si>
  <si>
    <t>x3 Snowball</t>
  </si>
  <si>
    <t>Jar of Coins</t>
  </si>
  <si>
    <t>x2 Gold Coin</t>
  </si>
  <si>
    <t>x20 Snowball</t>
  </si>
  <si>
    <t>Splashadia</t>
  </si>
  <si>
    <t>ITEMS</t>
  </si>
  <si>
    <t>First Found</t>
  </si>
  <si>
    <t>Snowball</t>
  </si>
  <si>
    <t>-</t>
  </si>
  <si>
    <t>Ripped Shoes</t>
  </si>
  <si>
    <t>Foreign Coin</t>
  </si>
  <si>
    <t>Chipped Diamond</t>
  </si>
  <si>
    <t>Half Eaten Sandwich</t>
  </si>
  <si>
    <t>Crocodile Floaty</t>
  </si>
  <si>
    <t>Gold Coin</t>
  </si>
  <si>
    <t>Test Tube</t>
  </si>
  <si>
    <t>Scratched Coin</t>
  </si>
  <si>
    <t>Facility</t>
  </si>
  <si>
    <t>Gun Fragment</t>
  </si>
  <si>
    <t>Seaweed</t>
  </si>
  <si>
    <t>Fish Tooth</t>
  </si>
  <si>
    <t>Mermaid Tail</t>
  </si>
  <si>
    <t>£10 Coin</t>
  </si>
  <si>
    <t>Diamond</t>
  </si>
  <si>
    <t>Emerald</t>
  </si>
  <si>
    <t>Old Cross</t>
  </si>
  <si>
    <t>Blight</t>
  </si>
  <si>
    <t>Shattered Molotov</t>
  </si>
  <si>
    <t>Flame</t>
  </si>
  <si>
    <t>Box of Matches</t>
  </si>
  <si>
    <t>Meflame</t>
  </si>
  <si>
    <t>Goat Horn</t>
  </si>
  <si>
    <t>Electrical Wire</t>
  </si>
  <si>
    <t>Zapao</t>
  </si>
  <si>
    <t>Megust</t>
  </si>
  <si>
    <t>Old Pendant</t>
  </si>
  <si>
    <t>Heal</t>
  </si>
  <si>
    <t>Vial of Ink</t>
  </si>
  <si>
    <t>Hex</t>
  </si>
  <si>
    <t>Glass Pendant</t>
  </si>
  <si>
    <t>Healan</t>
  </si>
  <si>
    <t>Waterproof Flamethrower</t>
  </si>
  <si>
    <t>Flamadia</t>
  </si>
  <si>
    <t>Ice Core</t>
  </si>
  <si>
    <t>Freeze</t>
  </si>
  <si>
    <t>Ice Shard</t>
  </si>
  <si>
    <t>Mefreeze</t>
  </si>
  <si>
    <t>Crystalised Flake</t>
  </si>
  <si>
    <t>Freezan</t>
  </si>
  <si>
    <t>Dented Airhorn</t>
  </si>
  <si>
    <t>Gust</t>
  </si>
  <si>
    <t>Cold Hairdryer</t>
  </si>
  <si>
    <t>Gustan</t>
  </si>
  <si>
    <t>Firecracker</t>
  </si>
  <si>
    <t>Meflamao</t>
  </si>
  <si>
    <t>Squid Head</t>
  </si>
  <si>
    <t>Mehex</t>
  </si>
  <si>
    <t>Jellyfish Tenticle</t>
  </si>
  <si>
    <t>Zapadia</t>
  </si>
  <si>
    <t>Dark Staff</t>
  </si>
  <si>
    <t>Mehexo</t>
  </si>
  <si>
    <t>Radioactive Core</t>
  </si>
  <si>
    <t>Frei</t>
  </si>
  <si>
    <t>Radioactive Chunk</t>
  </si>
  <si>
    <t>Freila</t>
  </si>
  <si>
    <t>Water Blaster 9000</t>
  </si>
  <si>
    <t>Splashan</t>
  </si>
  <si>
    <t>Fire Hydrant</t>
  </si>
  <si>
    <t>Live Cables</t>
  </si>
  <si>
    <t>Mezap</t>
  </si>
  <si>
    <t>Water Balloon</t>
  </si>
  <si>
    <t>Mesplash</t>
  </si>
  <si>
    <t>Sharp Stick</t>
  </si>
  <si>
    <t>Damage</t>
  </si>
  <si>
    <t>Sharp Icicle</t>
  </si>
  <si>
    <t>Nail Board</t>
  </si>
  <si>
    <t>Ice-Axe</t>
  </si>
  <si>
    <t>Ice Crossbow</t>
  </si>
  <si>
    <t>Wingman</t>
  </si>
  <si>
    <t>Rusty Anchor</t>
  </si>
  <si>
    <t>Trident</t>
  </si>
  <si>
    <t>Iron Spear</t>
  </si>
  <si>
    <t>Glock-17</t>
  </si>
  <si>
    <t>Royal Trident</t>
  </si>
  <si>
    <t>Breach Hammer</t>
  </si>
  <si>
    <t>Consumable</t>
  </si>
  <si>
    <t>Thawn Bandage</t>
  </si>
  <si>
    <t>Effect</t>
  </si>
  <si>
    <t>+40 HP</t>
  </si>
  <si>
    <t>Energy Pills</t>
  </si>
  <si>
    <t>+15 STA</t>
  </si>
  <si>
    <t>Worn Field Kit</t>
  </si>
  <si>
    <t>+100 HP</t>
  </si>
  <si>
    <t>Bottle o' Spirit</t>
  </si>
  <si>
    <t>+35 STA</t>
  </si>
  <si>
    <t>Medkit</t>
  </si>
  <si>
    <t>+200 HP</t>
  </si>
  <si>
    <t>Holy Water</t>
  </si>
  <si>
    <t>+80 STA</t>
  </si>
  <si>
    <t>Power Supplements</t>
  </si>
  <si>
    <t>x2.5 Melee</t>
  </si>
  <si>
    <t>Concentration Pills</t>
  </si>
  <si>
    <t>x2.5 Skill</t>
  </si>
  <si>
    <t>Overpower Capsules</t>
  </si>
  <si>
    <t>x2.5 Melee/Skill</t>
  </si>
  <si>
    <t>x4 Melee</t>
  </si>
  <si>
    <t>x4 Skill</t>
  </si>
  <si>
    <t>Concentration Pills X</t>
  </si>
  <si>
    <t>Power Supplements X</t>
  </si>
  <si>
    <t>Element</t>
  </si>
  <si>
    <t>Bless</t>
  </si>
  <si>
    <t>Fire</t>
  </si>
  <si>
    <t>Ice</t>
  </si>
  <si>
    <t>Wind</t>
  </si>
  <si>
    <t>Curse</t>
  </si>
  <si>
    <t>Water</t>
  </si>
  <si>
    <t>Electric</t>
  </si>
  <si>
    <t>Nuclear</t>
  </si>
  <si>
    <t>Support</t>
  </si>
  <si>
    <t>Suction Device</t>
  </si>
  <si>
    <t>Gustadia</t>
  </si>
  <si>
    <t>Bag of Powdered Snow</t>
  </si>
  <si>
    <t>Beam Saber</t>
  </si>
  <si>
    <t>Acid Injected Sword</t>
  </si>
  <si>
    <t>Glass Shard</t>
  </si>
  <si>
    <t>Screwdriver</t>
  </si>
  <si>
    <t>Prototype Heat Rod</t>
  </si>
  <si>
    <t>Glacier F3 Key</t>
  </si>
  <si>
    <t>Glacier F5 Key</t>
  </si>
  <si>
    <t>Atlantis F2 Key</t>
  </si>
  <si>
    <t>Atlantis F4 Key</t>
  </si>
  <si>
    <t>Atlantis F5 Key A</t>
  </si>
  <si>
    <t>Atlantis F5 Key B</t>
  </si>
  <si>
    <t>Facility F3 Key</t>
  </si>
  <si>
    <t>Facility F5 Key A</t>
  </si>
  <si>
    <t>Facility F5 Key B</t>
  </si>
  <si>
    <t>Facility F5 Key C</t>
  </si>
  <si>
    <t>Battery Reserve</t>
  </si>
  <si>
    <t>Mezapao</t>
  </si>
  <si>
    <t>Reactor Heart</t>
  </si>
  <si>
    <t>Freiladia</t>
  </si>
  <si>
    <t>Cracked Syringe</t>
  </si>
  <si>
    <t>Holy Cross</t>
  </si>
  <si>
    <t>Blighta</t>
  </si>
  <si>
    <t>Ruby</t>
  </si>
  <si>
    <t>Portable Mini Cannon</t>
  </si>
  <si>
    <t>Flamao</t>
  </si>
  <si>
    <t>Enchanted Pendant</t>
  </si>
  <si>
    <t>Healadia</t>
  </si>
  <si>
    <t>Potion of Instant Health</t>
  </si>
  <si>
    <t>+350 HP</t>
  </si>
  <si>
    <t>Potion of Mutated Souls</t>
  </si>
  <si>
    <t>+150 STA</t>
  </si>
  <si>
    <t>Barrier</t>
  </si>
  <si>
    <t>Nul next ATK</t>
  </si>
  <si>
    <t>+999 HP</t>
  </si>
  <si>
    <t>+60 HP</t>
  </si>
  <si>
    <t>+150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</si>
</sst>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3" borderId="4" xfId="0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0" fillId="5" borderId="0" xfId="0" applyFill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0" borderId="0" xfId="0" quotePrefix="1" applyFill="1" applyBorder="1" applyAlignment="1">
      <alignment horizontal="center"/>
    </xf>
    <xf numFmtId="0" fontId="0" fillId="0" borderId="0" xfId="0" quotePrefix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B310D-5657-4E61-A0DA-301A4716D270}">
  <sheetPr codeName="Sheet1"/>
  <dimension ref="A2:F101"/>
  <sheetViews>
    <sheetView zoomScale="115" zoomScaleNormal="115" workbookViewId="0">
      <selection activeCell="D30" sqref="D30"/>
    </sheetView>
  </sheetViews>
  <sheetFormatPr defaultRowHeight="15" x14ac:dyDescent="0.25"/>
  <cols>
    <col min="1" max="3" width="9.140625" style="1"/>
    <col min="4" max="4" width="14.85546875" customWidth="1"/>
    <col min="5" max="5" width="12.5703125" customWidth="1"/>
  </cols>
  <sheetData>
    <row r="2" spans="1:6" x14ac:dyDescent="0.25">
      <c r="A2" s="2" t="s">
        <v>0</v>
      </c>
      <c r="B2" s="2" t="s">
        <v>5</v>
      </c>
      <c r="C2" s="2" t="s">
        <v>6</v>
      </c>
      <c r="D2" s="2" t="s">
        <v>1</v>
      </c>
      <c r="E2" s="2" t="s">
        <v>2</v>
      </c>
      <c r="F2" s="2" t="s">
        <v>3</v>
      </c>
    </row>
    <row r="3" spans="1:6" ht="15" customHeight="1" x14ac:dyDescent="0.25">
      <c r="A3" s="1">
        <v>1</v>
      </c>
      <c r="B3" s="1">
        <v>140</v>
      </c>
      <c r="C3" s="1">
        <v>62</v>
      </c>
      <c r="D3" s="1"/>
      <c r="E3" s="1"/>
      <c r="F3" s="42" t="s">
        <v>4</v>
      </c>
    </row>
    <row r="4" spans="1:6" ht="15" customHeight="1" x14ac:dyDescent="0.25">
      <c r="A4" s="1">
        <v>2</v>
      </c>
      <c r="B4" s="1">
        <f>(B3+7)</f>
        <v>147</v>
      </c>
      <c r="C4" s="1">
        <f>(C3+4)</f>
        <v>66</v>
      </c>
      <c r="D4" s="1">
        <v>22</v>
      </c>
      <c r="E4" s="1">
        <v>20</v>
      </c>
      <c r="F4" s="42"/>
    </row>
    <row r="5" spans="1:6" x14ac:dyDescent="0.25">
      <c r="A5" s="1">
        <f>A4+1</f>
        <v>3</v>
      </c>
      <c r="B5" s="1">
        <f t="shared" ref="B5:B68" si="0">(B4+7)</f>
        <v>154</v>
      </c>
      <c r="C5" s="1">
        <f t="shared" ref="C5:C68" si="1">(C4+4)</f>
        <v>70</v>
      </c>
      <c r="D5" s="1">
        <f>INT(D4*1.35)</f>
        <v>29</v>
      </c>
      <c r="E5" s="1">
        <f>D5+E4</f>
        <v>49</v>
      </c>
      <c r="F5" s="42"/>
    </row>
    <row r="6" spans="1:6" x14ac:dyDescent="0.25">
      <c r="A6" s="1">
        <f t="shared" ref="A6:A19" si="2">A5+1</f>
        <v>4</v>
      </c>
      <c r="B6" s="1">
        <f t="shared" si="0"/>
        <v>161</v>
      </c>
      <c r="C6" s="1">
        <f t="shared" si="1"/>
        <v>74</v>
      </c>
      <c r="D6" s="1">
        <f t="shared" ref="D6:D23" si="3">INT(D5*1.35)</f>
        <v>39</v>
      </c>
      <c r="E6" s="1">
        <f>D6+E5</f>
        <v>88</v>
      </c>
      <c r="F6" s="42"/>
    </row>
    <row r="7" spans="1:6" x14ac:dyDescent="0.25">
      <c r="A7" s="1">
        <f t="shared" si="2"/>
        <v>5</v>
      </c>
      <c r="B7" s="1">
        <f t="shared" si="0"/>
        <v>168</v>
      </c>
      <c r="C7" s="1">
        <f t="shared" si="1"/>
        <v>78</v>
      </c>
      <c r="D7" s="1">
        <f t="shared" si="3"/>
        <v>52</v>
      </c>
      <c r="E7" s="1">
        <f t="shared" ref="E7:E20" si="4">D7+E6</f>
        <v>140</v>
      </c>
      <c r="F7" s="42"/>
    </row>
    <row r="8" spans="1:6" x14ac:dyDescent="0.25">
      <c r="A8" s="1">
        <f t="shared" si="2"/>
        <v>6</v>
      </c>
      <c r="B8" s="1">
        <f t="shared" si="0"/>
        <v>175</v>
      </c>
      <c r="C8" s="1">
        <f t="shared" si="1"/>
        <v>82</v>
      </c>
      <c r="D8" s="1">
        <f t="shared" si="3"/>
        <v>70</v>
      </c>
      <c r="E8" s="1">
        <f t="shared" si="4"/>
        <v>210</v>
      </c>
      <c r="F8" s="42"/>
    </row>
    <row r="9" spans="1:6" x14ac:dyDescent="0.25">
      <c r="A9" s="1">
        <f t="shared" si="2"/>
        <v>7</v>
      </c>
      <c r="B9" s="1">
        <f t="shared" si="0"/>
        <v>182</v>
      </c>
      <c r="C9" s="1">
        <f>(C8+4)</f>
        <v>86</v>
      </c>
      <c r="D9" s="1">
        <f t="shared" si="3"/>
        <v>94</v>
      </c>
      <c r="E9" s="1">
        <f t="shared" si="4"/>
        <v>304</v>
      </c>
      <c r="F9" s="42"/>
    </row>
    <row r="10" spans="1:6" x14ac:dyDescent="0.25">
      <c r="A10" s="1">
        <f t="shared" si="2"/>
        <v>8</v>
      </c>
      <c r="B10" s="1">
        <f t="shared" si="0"/>
        <v>189</v>
      </c>
      <c r="C10" s="1">
        <f t="shared" si="1"/>
        <v>90</v>
      </c>
      <c r="D10" s="1">
        <f t="shared" si="3"/>
        <v>126</v>
      </c>
      <c r="E10" s="1">
        <f t="shared" si="4"/>
        <v>430</v>
      </c>
      <c r="F10" s="42"/>
    </row>
    <row r="11" spans="1:6" x14ac:dyDescent="0.25">
      <c r="A11" s="1">
        <f t="shared" si="2"/>
        <v>9</v>
      </c>
      <c r="B11" s="1">
        <f t="shared" si="0"/>
        <v>196</v>
      </c>
      <c r="C11" s="1">
        <f t="shared" si="1"/>
        <v>94</v>
      </c>
      <c r="D11" s="1">
        <f t="shared" si="3"/>
        <v>170</v>
      </c>
      <c r="E11" s="1">
        <f t="shared" si="4"/>
        <v>600</v>
      </c>
      <c r="F11" s="42"/>
    </row>
    <row r="12" spans="1:6" x14ac:dyDescent="0.25">
      <c r="A12" s="1">
        <f t="shared" si="2"/>
        <v>10</v>
      </c>
      <c r="B12" s="1">
        <f t="shared" si="0"/>
        <v>203</v>
      </c>
      <c r="C12" s="1">
        <f t="shared" si="1"/>
        <v>98</v>
      </c>
      <c r="D12" s="1">
        <f t="shared" si="3"/>
        <v>229</v>
      </c>
      <c r="E12" s="1">
        <f t="shared" si="4"/>
        <v>829</v>
      </c>
      <c r="F12" s="42"/>
    </row>
    <row r="13" spans="1:6" x14ac:dyDescent="0.25">
      <c r="A13" s="1">
        <f t="shared" si="2"/>
        <v>11</v>
      </c>
      <c r="B13" s="1">
        <f t="shared" si="0"/>
        <v>210</v>
      </c>
      <c r="C13" s="1">
        <f t="shared" si="1"/>
        <v>102</v>
      </c>
      <c r="D13" s="1">
        <f t="shared" si="3"/>
        <v>309</v>
      </c>
      <c r="E13" s="1">
        <f t="shared" si="4"/>
        <v>1138</v>
      </c>
      <c r="F13" s="42"/>
    </row>
    <row r="14" spans="1:6" x14ac:dyDescent="0.25">
      <c r="A14" s="1">
        <f t="shared" si="2"/>
        <v>12</v>
      </c>
      <c r="B14" s="1">
        <f t="shared" si="0"/>
        <v>217</v>
      </c>
      <c r="C14" s="1">
        <f t="shared" si="1"/>
        <v>106</v>
      </c>
      <c r="D14" s="1">
        <f t="shared" si="3"/>
        <v>417</v>
      </c>
      <c r="E14" s="1">
        <f t="shared" si="4"/>
        <v>1555</v>
      </c>
      <c r="F14" s="42"/>
    </row>
    <row r="15" spans="1:6" x14ac:dyDescent="0.25">
      <c r="A15" s="1">
        <f t="shared" si="2"/>
        <v>13</v>
      </c>
      <c r="B15" s="1">
        <f t="shared" si="0"/>
        <v>224</v>
      </c>
      <c r="C15" s="1">
        <f t="shared" si="1"/>
        <v>110</v>
      </c>
      <c r="D15" s="1">
        <f t="shared" si="3"/>
        <v>562</v>
      </c>
      <c r="E15" s="1">
        <f t="shared" si="4"/>
        <v>2117</v>
      </c>
      <c r="F15" s="42"/>
    </row>
    <row r="16" spans="1:6" x14ac:dyDescent="0.25">
      <c r="A16" s="1">
        <f t="shared" si="2"/>
        <v>14</v>
      </c>
      <c r="B16" s="1">
        <f t="shared" si="0"/>
        <v>231</v>
      </c>
      <c r="C16" s="1">
        <f t="shared" si="1"/>
        <v>114</v>
      </c>
      <c r="D16" s="1">
        <f t="shared" si="3"/>
        <v>758</v>
      </c>
      <c r="E16" s="1">
        <f t="shared" si="4"/>
        <v>2875</v>
      </c>
      <c r="F16" s="42"/>
    </row>
    <row r="17" spans="1:6" x14ac:dyDescent="0.25">
      <c r="A17" s="1">
        <f t="shared" si="2"/>
        <v>15</v>
      </c>
      <c r="B17" s="1">
        <f t="shared" si="0"/>
        <v>238</v>
      </c>
      <c r="C17" s="1">
        <f t="shared" si="1"/>
        <v>118</v>
      </c>
      <c r="D17" s="1">
        <f t="shared" si="3"/>
        <v>1023</v>
      </c>
      <c r="E17" s="1">
        <f t="shared" si="4"/>
        <v>3898</v>
      </c>
      <c r="F17" s="42"/>
    </row>
    <row r="18" spans="1:6" x14ac:dyDescent="0.25">
      <c r="A18" s="1">
        <f t="shared" si="2"/>
        <v>16</v>
      </c>
      <c r="B18" s="1">
        <f t="shared" si="0"/>
        <v>245</v>
      </c>
      <c r="C18" s="1">
        <f t="shared" si="1"/>
        <v>122</v>
      </c>
      <c r="D18" s="1">
        <f t="shared" si="3"/>
        <v>1381</v>
      </c>
      <c r="E18" s="1">
        <f t="shared" si="4"/>
        <v>5279</v>
      </c>
      <c r="F18" s="42"/>
    </row>
    <row r="19" spans="1:6" x14ac:dyDescent="0.25">
      <c r="A19" s="1">
        <f t="shared" si="2"/>
        <v>17</v>
      </c>
      <c r="B19" s="1">
        <f t="shared" si="0"/>
        <v>252</v>
      </c>
      <c r="C19" s="1">
        <f t="shared" si="1"/>
        <v>126</v>
      </c>
      <c r="D19" s="1">
        <f t="shared" si="3"/>
        <v>1864</v>
      </c>
      <c r="E19" s="1">
        <f t="shared" si="4"/>
        <v>7143</v>
      </c>
      <c r="F19" s="42"/>
    </row>
    <row r="20" spans="1:6" x14ac:dyDescent="0.25">
      <c r="A20" s="1">
        <f>A19+1</f>
        <v>18</v>
      </c>
      <c r="B20" s="1">
        <f t="shared" si="0"/>
        <v>259</v>
      </c>
      <c r="C20" s="1">
        <f t="shared" si="1"/>
        <v>130</v>
      </c>
      <c r="D20" s="1">
        <f t="shared" si="3"/>
        <v>2516</v>
      </c>
      <c r="E20" s="1">
        <f t="shared" si="4"/>
        <v>9659</v>
      </c>
      <c r="F20" s="42"/>
    </row>
    <row r="21" spans="1:6" x14ac:dyDescent="0.25">
      <c r="A21" s="1">
        <f>A20+1</f>
        <v>19</v>
      </c>
      <c r="B21" s="1">
        <f t="shared" si="0"/>
        <v>266</v>
      </c>
      <c r="C21" s="1">
        <f t="shared" si="1"/>
        <v>134</v>
      </c>
      <c r="D21" s="1">
        <f t="shared" si="3"/>
        <v>3396</v>
      </c>
      <c r="E21" s="1">
        <f t="shared" ref="E21:E22" si="5">D21+E20</f>
        <v>13055</v>
      </c>
      <c r="F21" s="42"/>
    </row>
    <row r="22" spans="1:6" x14ac:dyDescent="0.25">
      <c r="A22" s="1">
        <f t="shared" ref="A22:A42" si="6">A21+1</f>
        <v>20</v>
      </c>
      <c r="B22" s="1">
        <f t="shared" si="0"/>
        <v>273</v>
      </c>
      <c r="C22" s="1">
        <f t="shared" si="1"/>
        <v>138</v>
      </c>
      <c r="D22" s="1">
        <f t="shared" si="3"/>
        <v>4584</v>
      </c>
      <c r="E22" s="1">
        <f t="shared" si="5"/>
        <v>17639</v>
      </c>
    </row>
    <row r="23" spans="1:6" x14ac:dyDescent="0.25">
      <c r="A23" s="1">
        <f t="shared" si="6"/>
        <v>21</v>
      </c>
      <c r="B23" s="1">
        <f t="shared" si="0"/>
        <v>280</v>
      </c>
      <c r="C23" s="1">
        <f t="shared" si="1"/>
        <v>142</v>
      </c>
      <c r="D23" s="1">
        <f t="shared" si="3"/>
        <v>6188</v>
      </c>
      <c r="E23" s="1">
        <f t="shared" ref="E23:E45" si="7">D23+E22</f>
        <v>23827</v>
      </c>
    </row>
    <row r="24" spans="1:6" x14ac:dyDescent="0.25">
      <c r="A24" s="1">
        <f t="shared" si="6"/>
        <v>22</v>
      </c>
      <c r="B24" s="1">
        <f t="shared" si="0"/>
        <v>287</v>
      </c>
      <c r="C24" s="1">
        <f t="shared" si="1"/>
        <v>146</v>
      </c>
      <c r="D24" s="1">
        <f>INT(D23*1.075)</f>
        <v>6652</v>
      </c>
      <c r="E24" s="1">
        <f t="shared" si="7"/>
        <v>30479</v>
      </c>
    </row>
    <row r="25" spans="1:6" x14ac:dyDescent="0.25">
      <c r="A25" s="1">
        <f t="shared" si="6"/>
        <v>23</v>
      </c>
      <c r="B25" s="1">
        <f t="shared" si="0"/>
        <v>294</v>
      </c>
      <c r="C25" s="1">
        <f t="shared" si="1"/>
        <v>150</v>
      </c>
      <c r="D25" s="1">
        <f t="shared" ref="D25:D52" si="8">INT(D24*1.075)</f>
        <v>7150</v>
      </c>
      <c r="E25" s="1">
        <f t="shared" si="7"/>
        <v>37629</v>
      </c>
    </row>
    <row r="26" spans="1:6" x14ac:dyDescent="0.25">
      <c r="A26" s="1">
        <f t="shared" si="6"/>
        <v>24</v>
      </c>
      <c r="B26" s="1">
        <f t="shared" si="0"/>
        <v>301</v>
      </c>
      <c r="C26" s="1">
        <f t="shared" si="1"/>
        <v>154</v>
      </c>
      <c r="D26" s="1">
        <f t="shared" si="8"/>
        <v>7686</v>
      </c>
      <c r="E26" s="1">
        <f t="shared" si="7"/>
        <v>45315</v>
      </c>
    </row>
    <row r="27" spans="1:6" x14ac:dyDescent="0.25">
      <c r="A27" s="1">
        <f t="shared" si="6"/>
        <v>25</v>
      </c>
      <c r="B27" s="1">
        <f t="shared" si="0"/>
        <v>308</v>
      </c>
      <c r="C27" s="1">
        <f t="shared" si="1"/>
        <v>158</v>
      </c>
      <c r="D27" s="1">
        <f t="shared" si="8"/>
        <v>8262</v>
      </c>
      <c r="E27" s="1">
        <f t="shared" si="7"/>
        <v>53577</v>
      </c>
    </row>
    <row r="28" spans="1:6" x14ac:dyDescent="0.25">
      <c r="A28" s="1">
        <f t="shared" si="6"/>
        <v>26</v>
      </c>
      <c r="B28" s="1">
        <f t="shared" si="0"/>
        <v>315</v>
      </c>
      <c r="C28" s="1">
        <f t="shared" si="1"/>
        <v>162</v>
      </c>
      <c r="D28" s="1">
        <f t="shared" si="8"/>
        <v>8881</v>
      </c>
      <c r="E28" s="1">
        <f t="shared" si="7"/>
        <v>62458</v>
      </c>
    </row>
    <row r="29" spans="1:6" x14ac:dyDescent="0.25">
      <c r="A29" s="1">
        <f t="shared" si="6"/>
        <v>27</v>
      </c>
      <c r="B29" s="1">
        <f t="shared" si="0"/>
        <v>322</v>
      </c>
      <c r="C29" s="1">
        <f t="shared" si="1"/>
        <v>166</v>
      </c>
      <c r="D29" s="1">
        <f t="shared" si="8"/>
        <v>9547</v>
      </c>
      <c r="E29" s="1">
        <f t="shared" si="7"/>
        <v>72005</v>
      </c>
    </row>
    <row r="30" spans="1:6" x14ac:dyDescent="0.25">
      <c r="A30" s="1">
        <f t="shared" si="6"/>
        <v>28</v>
      </c>
      <c r="B30" s="1">
        <f t="shared" si="0"/>
        <v>329</v>
      </c>
      <c r="C30" s="1">
        <f t="shared" si="1"/>
        <v>170</v>
      </c>
      <c r="D30" s="1">
        <f t="shared" si="8"/>
        <v>10263</v>
      </c>
      <c r="E30" s="1">
        <f t="shared" si="7"/>
        <v>82268</v>
      </c>
    </row>
    <row r="31" spans="1:6" x14ac:dyDescent="0.25">
      <c r="A31" s="1">
        <f t="shared" si="6"/>
        <v>29</v>
      </c>
      <c r="B31" s="1">
        <f t="shared" si="0"/>
        <v>336</v>
      </c>
      <c r="C31" s="1">
        <f t="shared" si="1"/>
        <v>174</v>
      </c>
      <c r="D31" s="1">
        <f t="shared" si="8"/>
        <v>11032</v>
      </c>
      <c r="E31" s="1">
        <f t="shared" si="7"/>
        <v>93300</v>
      </c>
    </row>
    <row r="32" spans="1:6" x14ac:dyDescent="0.25">
      <c r="A32" s="1">
        <f t="shared" si="6"/>
        <v>30</v>
      </c>
      <c r="B32" s="1">
        <f t="shared" si="0"/>
        <v>343</v>
      </c>
      <c r="C32" s="1">
        <f t="shared" si="1"/>
        <v>178</v>
      </c>
      <c r="D32" s="1">
        <f t="shared" si="8"/>
        <v>11859</v>
      </c>
      <c r="E32" s="1">
        <f t="shared" si="7"/>
        <v>105159</v>
      </c>
    </row>
    <row r="33" spans="1:5" x14ac:dyDescent="0.25">
      <c r="A33" s="1">
        <f t="shared" si="6"/>
        <v>31</v>
      </c>
      <c r="B33" s="1">
        <f t="shared" si="0"/>
        <v>350</v>
      </c>
      <c r="C33" s="1">
        <f t="shared" si="1"/>
        <v>182</v>
      </c>
      <c r="D33" s="1">
        <f t="shared" si="8"/>
        <v>12748</v>
      </c>
      <c r="E33" s="1">
        <f t="shared" si="7"/>
        <v>117907</v>
      </c>
    </row>
    <row r="34" spans="1:5" x14ac:dyDescent="0.25">
      <c r="A34" s="1">
        <f t="shared" si="6"/>
        <v>32</v>
      </c>
      <c r="B34" s="1">
        <f t="shared" si="0"/>
        <v>357</v>
      </c>
      <c r="C34" s="1">
        <f t="shared" si="1"/>
        <v>186</v>
      </c>
      <c r="D34" s="1">
        <f t="shared" si="8"/>
        <v>13704</v>
      </c>
      <c r="E34" s="1">
        <f t="shared" si="7"/>
        <v>131611</v>
      </c>
    </row>
    <row r="35" spans="1:5" x14ac:dyDescent="0.25">
      <c r="A35" s="1">
        <f t="shared" si="6"/>
        <v>33</v>
      </c>
      <c r="B35" s="1">
        <f t="shared" si="0"/>
        <v>364</v>
      </c>
      <c r="C35" s="1">
        <f t="shared" si="1"/>
        <v>190</v>
      </c>
      <c r="D35" s="1">
        <f t="shared" si="8"/>
        <v>14731</v>
      </c>
      <c r="E35" s="1">
        <f t="shared" si="7"/>
        <v>146342</v>
      </c>
    </row>
    <row r="36" spans="1:5" x14ac:dyDescent="0.25">
      <c r="A36" s="1">
        <f t="shared" si="6"/>
        <v>34</v>
      </c>
      <c r="B36" s="1">
        <f t="shared" si="0"/>
        <v>371</v>
      </c>
      <c r="C36" s="1">
        <f t="shared" si="1"/>
        <v>194</v>
      </c>
      <c r="D36" s="1">
        <f t="shared" si="8"/>
        <v>15835</v>
      </c>
      <c r="E36" s="1">
        <f t="shared" si="7"/>
        <v>162177</v>
      </c>
    </row>
    <row r="37" spans="1:5" x14ac:dyDescent="0.25">
      <c r="A37" s="1">
        <f t="shared" si="6"/>
        <v>35</v>
      </c>
      <c r="B37" s="1">
        <f t="shared" si="0"/>
        <v>378</v>
      </c>
      <c r="C37" s="1">
        <f t="shared" si="1"/>
        <v>198</v>
      </c>
      <c r="D37" s="1">
        <f t="shared" si="8"/>
        <v>17022</v>
      </c>
      <c r="E37" s="1">
        <f t="shared" si="7"/>
        <v>179199</v>
      </c>
    </row>
    <row r="38" spans="1:5" x14ac:dyDescent="0.25">
      <c r="A38" s="1">
        <f t="shared" si="6"/>
        <v>36</v>
      </c>
      <c r="B38" s="1">
        <f t="shared" si="0"/>
        <v>385</v>
      </c>
      <c r="C38" s="1">
        <f t="shared" si="1"/>
        <v>202</v>
      </c>
      <c r="D38" s="1">
        <f t="shared" si="8"/>
        <v>18298</v>
      </c>
      <c r="E38" s="1">
        <f t="shared" si="7"/>
        <v>197497</v>
      </c>
    </row>
    <row r="39" spans="1:5" x14ac:dyDescent="0.25">
      <c r="A39" s="1">
        <f t="shared" si="6"/>
        <v>37</v>
      </c>
      <c r="B39" s="1">
        <f t="shared" si="0"/>
        <v>392</v>
      </c>
      <c r="C39" s="1">
        <f t="shared" si="1"/>
        <v>206</v>
      </c>
      <c r="D39" s="1">
        <f t="shared" si="8"/>
        <v>19670</v>
      </c>
      <c r="E39" s="1">
        <f t="shared" si="7"/>
        <v>217167</v>
      </c>
    </row>
    <row r="40" spans="1:5" x14ac:dyDescent="0.25">
      <c r="A40" s="1">
        <f t="shared" si="6"/>
        <v>38</v>
      </c>
      <c r="B40" s="1">
        <f t="shared" si="0"/>
        <v>399</v>
      </c>
      <c r="C40" s="1">
        <f t="shared" si="1"/>
        <v>210</v>
      </c>
      <c r="D40" s="1">
        <f t="shared" si="8"/>
        <v>21145</v>
      </c>
      <c r="E40" s="1">
        <f t="shared" si="7"/>
        <v>238312</v>
      </c>
    </row>
    <row r="41" spans="1:5" x14ac:dyDescent="0.25">
      <c r="A41" s="1">
        <f t="shared" si="6"/>
        <v>39</v>
      </c>
      <c r="B41" s="1">
        <f t="shared" si="0"/>
        <v>406</v>
      </c>
      <c r="C41" s="1">
        <f t="shared" si="1"/>
        <v>214</v>
      </c>
      <c r="D41" s="1">
        <f t="shared" si="8"/>
        <v>22730</v>
      </c>
      <c r="E41" s="1">
        <f t="shared" si="7"/>
        <v>261042</v>
      </c>
    </row>
    <row r="42" spans="1:5" x14ac:dyDescent="0.25">
      <c r="A42" s="1">
        <f t="shared" si="6"/>
        <v>40</v>
      </c>
      <c r="B42" s="1">
        <f t="shared" si="0"/>
        <v>413</v>
      </c>
      <c r="C42" s="1">
        <f t="shared" si="1"/>
        <v>218</v>
      </c>
      <c r="D42" s="1">
        <f t="shared" si="8"/>
        <v>24434</v>
      </c>
      <c r="E42" s="1">
        <f t="shared" si="7"/>
        <v>285476</v>
      </c>
    </row>
    <row r="43" spans="1:5" x14ac:dyDescent="0.25">
      <c r="A43" s="1">
        <f>A42+1</f>
        <v>41</v>
      </c>
      <c r="B43" s="1">
        <f t="shared" si="0"/>
        <v>420</v>
      </c>
      <c r="C43" s="1">
        <f t="shared" si="1"/>
        <v>222</v>
      </c>
      <c r="D43" s="1">
        <f t="shared" si="8"/>
        <v>26266</v>
      </c>
      <c r="E43" s="1">
        <f t="shared" si="7"/>
        <v>311742</v>
      </c>
    </row>
    <row r="44" spans="1:5" x14ac:dyDescent="0.25">
      <c r="A44" s="1">
        <f>A43+1</f>
        <v>42</v>
      </c>
      <c r="B44" s="1">
        <f t="shared" si="0"/>
        <v>427</v>
      </c>
      <c r="C44" s="1">
        <f t="shared" si="1"/>
        <v>226</v>
      </c>
      <c r="D44" s="1">
        <f t="shared" si="8"/>
        <v>28235</v>
      </c>
      <c r="E44" s="1">
        <f t="shared" si="7"/>
        <v>339977</v>
      </c>
    </row>
    <row r="45" spans="1:5" x14ac:dyDescent="0.25">
      <c r="A45" s="1">
        <f t="shared" ref="A45:A62" si="9">A44+1</f>
        <v>43</v>
      </c>
      <c r="B45" s="1">
        <f t="shared" si="0"/>
        <v>434</v>
      </c>
      <c r="C45" s="1">
        <f t="shared" si="1"/>
        <v>230</v>
      </c>
      <c r="D45" s="1">
        <f t="shared" si="8"/>
        <v>30352</v>
      </c>
      <c r="E45" s="1">
        <f t="shared" si="7"/>
        <v>370329</v>
      </c>
    </row>
    <row r="46" spans="1:5" x14ac:dyDescent="0.25">
      <c r="A46" s="1">
        <f t="shared" si="9"/>
        <v>44</v>
      </c>
      <c r="B46" s="1">
        <f t="shared" si="0"/>
        <v>441</v>
      </c>
      <c r="C46" s="1">
        <f t="shared" si="1"/>
        <v>234</v>
      </c>
      <c r="D46" s="1">
        <f t="shared" si="8"/>
        <v>32628</v>
      </c>
      <c r="E46" s="1">
        <f t="shared" ref="E46:E88" si="10">D46+E45</f>
        <v>402957</v>
      </c>
    </row>
    <row r="47" spans="1:5" x14ac:dyDescent="0.25">
      <c r="A47" s="1">
        <f t="shared" si="9"/>
        <v>45</v>
      </c>
      <c r="B47" s="1">
        <f t="shared" si="0"/>
        <v>448</v>
      </c>
      <c r="C47" s="1">
        <f t="shared" si="1"/>
        <v>238</v>
      </c>
      <c r="D47" s="1">
        <f t="shared" si="8"/>
        <v>35075</v>
      </c>
      <c r="E47" s="1">
        <f t="shared" si="10"/>
        <v>438032</v>
      </c>
    </row>
    <row r="48" spans="1:5" x14ac:dyDescent="0.25">
      <c r="A48" s="1">
        <f t="shared" si="9"/>
        <v>46</v>
      </c>
      <c r="B48" s="1">
        <f t="shared" si="0"/>
        <v>455</v>
      </c>
      <c r="C48" s="1">
        <f t="shared" si="1"/>
        <v>242</v>
      </c>
      <c r="D48" s="1">
        <f t="shared" si="8"/>
        <v>37705</v>
      </c>
      <c r="E48" s="1">
        <f t="shared" si="10"/>
        <v>475737</v>
      </c>
    </row>
    <row r="49" spans="1:5" x14ac:dyDescent="0.25">
      <c r="A49" s="1">
        <f t="shared" si="9"/>
        <v>47</v>
      </c>
      <c r="B49" s="1">
        <f t="shared" si="0"/>
        <v>462</v>
      </c>
      <c r="C49" s="1">
        <f t="shared" si="1"/>
        <v>246</v>
      </c>
      <c r="D49" s="1">
        <f t="shared" si="8"/>
        <v>40532</v>
      </c>
      <c r="E49" s="1">
        <f t="shared" si="10"/>
        <v>516269</v>
      </c>
    </row>
    <row r="50" spans="1:5" x14ac:dyDescent="0.25">
      <c r="A50" s="1">
        <f t="shared" si="9"/>
        <v>48</v>
      </c>
      <c r="B50" s="1">
        <f t="shared" si="0"/>
        <v>469</v>
      </c>
      <c r="C50" s="1">
        <f t="shared" si="1"/>
        <v>250</v>
      </c>
      <c r="D50" s="1">
        <f t="shared" si="8"/>
        <v>43571</v>
      </c>
      <c r="E50" s="1">
        <f t="shared" si="10"/>
        <v>559840</v>
      </c>
    </row>
    <row r="51" spans="1:5" x14ac:dyDescent="0.25">
      <c r="A51" s="1">
        <f t="shared" si="9"/>
        <v>49</v>
      </c>
      <c r="B51" s="1">
        <f t="shared" si="0"/>
        <v>476</v>
      </c>
      <c r="C51" s="1">
        <f t="shared" si="1"/>
        <v>254</v>
      </c>
      <c r="D51" s="1">
        <f t="shared" si="8"/>
        <v>46838</v>
      </c>
      <c r="E51" s="1">
        <f t="shared" si="10"/>
        <v>606678</v>
      </c>
    </row>
    <row r="52" spans="1:5" x14ac:dyDescent="0.25">
      <c r="A52" s="1">
        <f t="shared" si="9"/>
        <v>50</v>
      </c>
      <c r="B52" s="1">
        <f t="shared" si="0"/>
        <v>483</v>
      </c>
      <c r="C52" s="1">
        <f t="shared" si="1"/>
        <v>258</v>
      </c>
      <c r="D52" s="1">
        <f t="shared" si="8"/>
        <v>50350</v>
      </c>
      <c r="E52" s="1">
        <f t="shared" si="10"/>
        <v>657028</v>
      </c>
    </row>
    <row r="53" spans="1:5" x14ac:dyDescent="0.25">
      <c r="A53" s="1">
        <f t="shared" si="9"/>
        <v>51</v>
      </c>
      <c r="B53" s="1">
        <f t="shared" si="0"/>
        <v>490</v>
      </c>
      <c r="C53" s="1">
        <f t="shared" si="1"/>
        <v>262</v>
      </c>
      <c r="D53" s="1">
        <f>INT(D52*1.03)</f>
        <v>51860</v>
      </c>
      <c r="E53" s="1">
        <f t="shared" si="10"/>
        <v>708888</v>
      </c>
    </row>
    <row r="54" spans="1:5" x14ac:dyDescent="0.25">
      <c r="A54" s="1">
        <f t="shared" si="9"/>
        <v>52</v>
      </c>
      <c r="B54" s="1">
        <f t="shared" si="0"/>
        <v>497</v>
      </c>
      <c r="C54" s="1">
        <f t="shared" si="1"/>
        <v>266</v>
      </c>
      <c r="D54" s="1">
        <f t="shared" ref="D54:D101" si="11">INT(D53*1.03)</f>
        <v>53415</v>
      </c>
      <c r="E54" s="1">
        <f t="shared" si="10"/>
        <v>762303</v>
      </c>
    </row>
    <row r="55" spans="1:5" x14ac:dyDescent="0.25">
      <c r="A55" s="1">
        <f t="shared" si="9"/>
        <v>53</v>
      </c>
      <c r="B55" s="1">
        <f t="shared" si="0"/>
        <v>504</v>
      </c>
      <c r="C55" s="1">
        <f t="shared" si="1"/>
        <v>270</v>
      </c>
      <c r="D55" s="1">
        <f t="shared" si="11"/>
        <v>55017</v>
      </c>
      <c r="E55" s="1">
        <f t="shared" si="10"/>
        <v>817320</v>
      </c>
    </row>
    <row r="56" spans="1:5" x14ac:dyDescent="0.25">
      <c r="A56" s="1">
        <f t="shared" si="9"/>
        <v>54</v>
      </c>
      <c r="B56" s="1">
        <f t="shared" si="0"/>
        <v>511</v>
      </c>
      <c r="C56" s="1">
        <f t="shared" si="1"/>
        <v>274</v>
      </c>
      <c r="D56" s="1">
        <f t="shared" si="11"/>
        <v>56667</v>
      </c>
      <c r="E56" s="1">
        <f t="shared" si="10"/>
        <v>873987</v>
      </c>
    </row>
    <row r="57" spans="1:5" x14ac:dyDescent="0.25">
      <c r="A57" s="1">
        <f t="shared" si="9"/>
        <v>55</v>
      </c>
      <c r="B57" s="1">
        <f t="shared" si="0"/>
        <v>518</v>
      </c>
      <c r="C57" s="1">
        <f t="shared" si="1"/>
        <v>278</v>
      </c>
      <c r="D57" s="1">
        <f t="shared" si="11"/>
        <v>58367</v>
      </c>
      <c r="E57" s="1">
        <f t="shared" si="10"/>
        <v>932354</v>
      </c>
    </row>
    <row r="58" spans="1:5" x14ac:dyDescent="0.25">
      <c r="A58" s="1">
        <f t="shared" si="9"/>
        <v>56</v>
      </c>
      <c r="B58" s="1">
        <f t="shared" si="0"/>
        <v>525</v>
      </c>
      <c r="C58" s="1">
        <f t="shared" si="1"/>
        <v>282</v>
      </c>
      <c r="D58" s="1">
        <f t="shared" si="11"/>
        <v>60118</v>
      </c>
      <c r="E58" s="1">
        <f t="shared" si="10"/>
        <v>992472</v>
      </c>
    </row>
    <row r="59" spans="1:5" x14ac:dyDescent="0.25">
      <c r="A59" s="1">
        <f t="shared" si="9"/>
        <v>57</v>
      </c>
      <c r="B59" s="1">
        <f t="shared" si="0"/>
        <v>532</v>
      </c>
      <c r="C59" s="1">
        <f t="shared" si="1"/>
        <v>286</v>
      </c>
      <c r="D59" s="1">
        <f t="shared" si="11"/>
        <v>61921</v>
      </c>
      <c r="E59" s="1">
        <f t="shared" si="10"/>
        <v>1054393</v>
      </c>
    </row>
    <row r="60" spans="1:5" x14ac:dyDescent="0.25">
      <c r="A60" s="1">
        <f t="shared" si="9"/>
        <v>58</v>
      </c>
      <c r="B60" s="1">
        <f t="shared" si="0"/>
        <v>539</v>
      </c>
      <c r="C60" s="1">
        <f t="shared" si="1"/>
        <v>290</v>
      </c>
      <c r="D60" s="1">
        <f t="shared" si="11"/>
        <v>63778</v>
      </c>
      <c r="E60" s="1">
        <f t="shared" si="10"/>
        <v>1118171</v>
      </c>
    </row>
    <row r="61" spans="1:5" x14ac:dyDescent="0.25">
      <c r="A61" s="1">
        <f t="shared" si="9"/>
        <v>59</v>
      </c>
      <c r="B61" s="1">
        <f t="shared" si="0"/>
        <v>546</v>
      </c>
      <c r="C61" s="1">
        <f t="shared" si="1"/>
        <v>294</v>
      </c>
      <c r="D61" s="1">
        <f t="shared" si="11"/>
        <v>65691</v>
      </c>
      <c r="E61" s="1">
        <f t="shared" si="10"/>
        <v>1183862</v>
      </c>
    </row>
    <row r="62" spans="1:5" x14ac:dyDescent="0.25">
      <c r="A62" s="1">
        <f t="shared" si="9"/>
        <v>60</v>
      </c>
      <c r="B62" s="1">
        <f t="shared" si="0"/>
        <v>553</v>
      </c>
      <c r="C62" s="1">
        <f t="shared" si="1"/>
        <v>298</v>
      </c>
      <c r="D62" s="1">
        <f t="shared" si="11"/>
        <v>67661</v>
      </c>
      <c r="E62" s="1">
        <f t="shared" si="10"/>
        <v>1251523</v>
      </c>
    </row>
    <row r="63" spans="1:5" x14ac:dyDescent="0.25">
      <c r="A63" s="1">
        <f>A62+1</f>
        <v>61</v>
      </c>
      <c r="B63" s="1">
        <f t="shared" si="0"/>
        <v>560</v>
      </c>
      <c r="C63" s="1">
        <f t="shared" si="1"/>
        <v>302</v>
      </c>
      <c r="D63" s="1">
        <f t="shared" si="11"/>
        <v>69690</v>
      </c>
      <c r="E63" s="1">
        <f t="shared" si="10"/>
        <v>1321213</v>
      </c>
    </row>
    <row r="64" spans="1:5" x14ac:dyDescent="0.25">
      <c r="A64" s="1">
        <f>A63+1</f>
        <v>62</v>
      </c>
      <c r="B64" s="1">
        <f t="shared" si="0"/>
        <v>567</v>
      </c>
      <c r="C64" s="1">
        <f t="shared" si="1"/>
        <v>306</v>
      </c>
      <c r="D64" s="1">
        <f t="shared" si="11"/>
        <v>71780</v>
      </c>
      <c r="E64" s="1">
        <f t="shared" si="10"/>
        <v>1392993</v>
      </c>
    </row>
    <row r="65" spans="1:5" x14ac:dyDescent="0.25">
      <c r="A65" s="1">
        <f t="shared" ref="A65:A85" si="12">A64+1</f>
        <v>63</v>
      </c>
      <c r="B65" s="1">
        <f t="shared" si="0"/>
        <v>574</v>
      </c>
      <c r="C65" s="1">
        <f t="shared" si="1"/>
        <v>310</v>
      </c>
      <c r="D65" s="1">
        <f t="shared" si="11"/>
        <v>73933</v>
      </c>
      <c r="E65" s="1">
        <f t="shared" si="10"/>
        <v>1466926</v>
      </c>
    </row>
    <row r="66" spans="1:5" x14ac:dyDescent="0.25">
      <c r="A66" s="1">
        <f t="shared" si="12"/>
        <v>64</v>
      </c>
      <c r="B66" s="1">
        <f t="shared" si="0"/>
        <v>581</v>
      </c>
      <c r="C66" s="1">
        <f t="shared" si="1"/>
        <v>314</v>
      </c>
      <c r="D66" s="1">
        <f t="shared" si="11"/>
        <v>76150</v>
      </c>
      <c r="E66" s="1">
        <f t="shared" si="10"/>
        <v>1543076</v>
      </c>
    </row>
    <row r="67" spans="1:5" x14ac:dyDescent="0.25">
      <c r="A67" s="1">
        <f t="shared" si="12"/>
        <v>65</v>
      </c>
      <c r="B67" s="1">
        <f t="shared" si="0"/>
        <v>588</v>
      </c>
      <c r="C67" s="1">
        <f t="shared" si="1"/>
        <v>318</v>
      </c>
      <c r="D67" s="1">
        <f t="shared" si="11"/>
        <v>78434</v>
      </c>
      <c r="E67" s="1">
        <f t="shared" si="10"/>
        <v>1621510</v>
      </c>
    </row>
    <row r="68" spans="1:5" x14ac:dyDescent="0.25">
      <c r="A68" s="1">
        <f t="shared" si="12"/>
        <v>66</v>
      </c>
      <c r="B68" s="1">
        <f t="shared" si="0"/>
        <v>595</v>
      </c>
      <c r="C68" s="1">
        <f t="shared" si="1"/>
        <v>322</v>
      </c>
      <c r="D68" s="1">
        <f t="shared" si="11"/>
        <v>80787</v>
      </c>
      <c r="E68" s="1">
        <f t="shared" si="10"/>
        <v>1702297</v>
      </c>
    </row>
    <row r="69" spans="1:5" x14ac:dyDescent="0.25">
      <c r="A69" s="1">
        <f t="shared" si="12"/>
        <v>67</v>
      </c>
      <c r="B69" s="1">
        <f t="shared" ref="B69:B101" si="13">(B68+7)</f>
        <v>602</v>
      </c>
      <c r="C69" s="1">
        <f t="shared" ref="C69:C101" si="14">(C68+4)</f>
        <v>326</v>
      </c>
      <c r="D69" s="1">
        <f t="shared" si="11"/>
        <v>83210</v>
      </c>
      <c r="E69" s="1">
        <f t="shared" si="10"/>
        <v>1785507</v>
      </c>
    </row>
    <row r="70" spans="1:5" x14ac:dyDescent="0.25">
      <c r="A70" s="1">
        <f t="shared" si="12"/>
        <v>68</v>
      </c>
      <c r="B70" s="1">
        <f t="shared" si="13"/>
        <v>609</v>
      </c>
      <c r="C70" s="1">
        <f t="shared" si="14"/>
        <v>330</v>
      </c>
      <c r="D70" s="1">
        <f t="shared" si="11"/>
        <v>85706</v>
      </c>
      <c r="E70" s="1">
        <f t="shared" si="10"/>
        <v>1871213</v>
      </c>
    </row>
    <row r="71" spans="1:5" x14ac:dyDescent="0.25">
      <c r="A71" s="1">
        <f t="shared" si="12"/>
        <v>69</v>
      </c>
      <c r="B71" s="1">
        <f t="shared" si="13"/>
        <v>616</v>
      </c>
      <c r="C71" s="1">
        <f t="shared" si="14"/>
        <v>334</v>
      </c>
      <c r="D71" s="1">
        <f t="shared" si="11"/>
        <v>88277</v>
      </c>
      <c r="E71" s="1">
        <f t="shared" si="10"/>
        <v>1959490</v>
      </c>
    </row>
    <row r="72" spans="1:5" x14ac:dyDescent="0.25">
      <c r="A72" s="1">
        <f t="shared" si="12"/>
        <v>70</v>
      </c>
      <c r="B72" s="1">
        <f t="shared" si="13"/>
        <v>623</v>
      </c>
      <c r="C72" s="1">
        <f t="shared" si="14"/>
        <v>338</v>
      </c>
      <c r="D72" s="1">
        <f t="shared" si="11"/>
        <v>90925</v>
      </c>
      <c r="E72" s="1">
        <f t="shared" si="10"/>
        <v>2050415</v>
      </c>
    </row>
    <row r="73" spans="1:5" x14ac:dyDescent="0.25">
      <c r="A73" s="1">
        <f t="shared" si="12"/>
        <v>71</v>
      </c>
      <c r="B73" s="1">
        <f t="shared" si="13"/>
        <v>630</v>
      </c>
      <c r="C73" s="1">
        <f t="shared" si="14"/>
        <v>342</v>
      </c>
      <c r="D73" s="1">
        <f t="shared" si="11"/>
        <v>93652</v>
      </c>
      <c r="E73" s="1">
        <f t="shared" si="10"/>
        <v>2144067</v>
      </c>
    </row>
    <row r="74" spans="1:5" x14ac:dyDescent="0.25">
      <c r="A74" s="1">
        <f t="shared" si="12"/>
        <v>72</v>
      </c>
      <c r="B74" s="1">
        <f t="shared" si="13"/>
        <v>637</v>
      </c>
      <c r="C74" s="1">
        <f t="shared" si="14"/>
        <v>346</v>
      </c>
      <c r="D74" s="1">
        <f t="shared" si="11"/>
        <v>96461</v>
      </c>
      <c r="E74" s="1">
        <f t="shared" si="10"/>
        <v>2240528</v>
      </c>
    </row>
    <row r="75" spans="1:5" x14ac:dyDescent="0.25">
      <c r="A75" s="1">
        <f t="shared" si="12"/>
        <v>73</v>
      </c>
      <c r="B75" s="1">
        <f t="shared" si="13"/>
        <v>644</v>
      </c>
      <c r="C75" s="1">
        <f t="shared" si="14"/>
        <v>350</v>
      </c>
      <c r="D75" s="1">
        <f t="shared" si="11"/>
        <v>99354</v>
      </c>
      <c r="E75" s="1">
        <f t="shared" si="10"/>
        <v>2339882</v>
      </c>
    </row>
    <row r="76" spans="1:5" x14ac:dyDescent="0.25">
      <c r="A76" s="1">
        <f t="shared" si="12"/>
        <v>74</v>
      </c>
      <c r="B76" s="1">
        <f t="shared" si="13"/>
        <v>651</v>
      </c>
      <c r="C76" s="1">
        <f t="shared" si="14"/>
        <v>354</v>
      </c>
      <c r="D76" s="1">
        <f t="shared" si="11"/>
        <v>102334</v>
      </c>
      <c r="E76" s="1">
        <f t="shared" si="10"/>
        <v>2442216</v>
      </c>
    </row>
    <row r="77" spans="1:5" x14ac:dyDescent="0.25">
      <c r="A77" s="1">
        <f t="shared" si="12"/>
        <v>75</v>
      </c>
      <c r="B77" s="1">
        <f t="shared" si="13"/>
        <v>658</v>
      </c>
      <c r="C77" s="1">
        <f t="shared" si="14"/>
        <v>358</v>
      </c>
      <c r="D77" s="1">
        <f t="shared" si="11"/>
        <v>105404</v>
      </c>
      <c r="E77" s="1">
        <f t="shared" si="10"/>
        <v>2547620</v>
      </c>
    </row>
    <row r="78" spans="1:5" x14ac:dyDescent="0.25">
      <c r="A78" s="1">
        <f t="shared" si="12"/>
        <v>76</v>
      </c>
      <c r="B78" s="1">
        <f t="shared" si="13"/>
        <v>665</v>
      </c>
      <c r="C78" s="1">
        <f t="shared" si="14"/>
        <v>362</v>
      </c>
      <c r="D78" s="1">
        <f t="shared" si="11"/>
        <v>108566</v>
      </c>
      <c r="E78" s="1">
        <f t="shared" si="10"/>
        <v>2656186</v>
      </c>
    </row>
    <row r="79" spans="1:5" x14ac:dyDescent="0.25">
      <c r="A79" s="1">
        <f t="shared" si="12"/>
        <v>77</v>
      </c>
      <c r="B79" s="1">
        <f t="shared" si="13"/>
        <v>672</v>
      </c>
      <c r="C79" s="1">
        <f t="shared" si="14"/>
        <v>366</v>
      </c>
      <c r="D79" s="1">
        <f t="shared" si="11"/>
        <v>111822</v>
      </c>
      <c r="E79" s="1">
        <f t="shared" si="10"/>
        <v>2768008</v>
      </c>
    </row>
    <row r="80" spans="1:5" x14ac:dyDescent="0.25">
      <c r="A80" s="1">
        <f t="shared" si="12"/>
        <v>78</v>
      </c>
      <c r="B80" s="1">
        <f t="shared" si="13"/>
        <v>679</v>
      </c>
      <c r="C80" s="1">
        <f t="shared" si="14"/>
        <v>370</v>
      </c>
      <c r="D80" s="1">
        <f t="shared" si="11"/>
        <v>115176</v>
      </c>
      <c r="E80" s="1">
        <f t="shared" si="10"/>
        <v>2883184</v>
      </c>
    </row>
    <row r="81" spans="1:5" x14ac:dyDescent="0.25">
      <c r="A81" s="1">
        <f t="shared" si="12"/>
        <v>79</v>
      </c>
      <c r="B81" s="1">
        <f t="shared" si="13"/>
        <v>686</v>
      </c>
      <c r="C81" s="1">
        <f t="shared" si="14"/>
        <v>374</v>
      </c>
      <c r="D81" s="1">
        <f t="shared" si="11"/>
        <v>118631</v>
      </c>
      <c r="E81" s="1">
        <f t="shared" si="10"/>
        <v>3001815</v>
      </c>
    </row>
    <row r="82" spans="1:5" x14ac:dyDescent="0.25">
      <c r="A82" s="1">
        <f t="shared" si="12"/>
        <v>80</v>
      </c>
      <c r="B82" s="1">
        <f t="shared" si="13"/>
        <v>693</v>
      </c>
      <c r="C82" s="1">
        <f t="shared" si="14"/>
        <v>378</v>
      </c>
      <c r="D82" s="1">
        <f t="shared" si="11"/>
        <v>122189</v>
      </c>
      <c r="E82" s="1">
        <f t="shared" si="10"/>
        <v>3124004</v>
      </c>
    </row>
    <row r="83" spans="1:5" x14ac:dyDescent="0.25">
      <c r="A83" s="1">
        <f t="shared" si="12"/>
        <v>81</v>
      </c>
      <c r="B83" s="1">
        <f t="shared" si="13"/>
        <v>700</v>
      </c>
      <c r="C83" s="1">
        <f t="shared" si="14"/>
        <v>382</v>
      </c>
      <c r="D83" s="1">
        <f t="shared" si="11"/>
        <v>125854</v>
      </c>
      <c r="E83" s="1">
        <f t="shared" si="10"/>
        <v>3249858</v>
      </c>
    </row>
    <row r="84" spans="1:5" x14ac:dyDescent="0.25">
      <c r="A84" s="1">
        <f t="shared" si="12"/>
        <v>82</v>
      </c>
      <c r="B84" s="1">
        <f t="shared" si="13"/>
        <v>707</v>
      </c>
      <c r="C84" s="1">
        <f t="shared" si="14"/>
        <v>386</v>
      </c>
      <c r="D84" s="1">
        <f t="shared" si="11"/>
        <v>129629</v>
      </c>
      <c r="E84" s="1">
        <f t="shared" si="10"/>
        <v>3379487</v>
      </c>
    </row>
    <row r="85" spans="1:5" x14ac:dyDescent="0.25">
      <c r="A85" s="1">
        <f t="shared" si="12"/>
        <v>83</v>
      </c>
      <c r="B85" s="1">
        <f t="shared" si="13"/>
        <v>714</v>
      </c>
      <c r="C85" s="1">
        <f t="shared" si="14"/>
        <v>390</v>
      </c>
      <c r="D85" s="1">
        <f t="shared" si="11"/>
        <v>133517</v>
      </c>
      <c r="E85" s="1">
        <f t="shared" si="10"/>
        <v>3513004</v>
      </c>
    </row>
    <row r="86" spans="1:5" x14ac:dyDescent="0.25">
      <c r="A86" s="1">
        <f>A85+1</f>
        <v>84</v>
      </c>
      <c r="B86" s="1">
        <f t="shared" si="13"/>
        <v>721</v>
      </c>
      <c r="C86" s="1">
        <f t="shared" si="14"/>
        <v>394</v>
      </c>
      <c r="D86" s="1">
        <f t="shared" si="11"/>
        <v>137522</v>
      </c>
      <c r="E86" s="1">
        <f t="shared" si="10"/>
        <v>3650526</v>
      </c>
    </row>
    <row r="87" spans="1:5" x14ac:dyDescent="0.25">
      <c r="A87" s="1">
        <f>A86+1</f>
        <v>85</v>
      </c>
      <c r="B87" s="1">
        <f t="shared" si="13"/>
        <v>728</v>
      </c>
      <c r="C87" s="1">
        <f t="shared" si="14"/>
        <v>398</v>
      </c>
      <c r="D87" s="1">
        <f t="shared" si="11"/>
        <v>141647</v>
      </c>
      <c r="E87" s="1">
        <f t="shared" si="10"/>
        <v>3792173</v>
      </c>
    </row>
    <row r="88" spans="1:5" x14ac:dyDescent="0.25">
      <c r="A88" s="1">
        <f t="shared" ref="A88:A101" si="15">A87+1</f>
        <v>86</v>
      </c>
      <c r="B88" s="1">
        <f t="shared" si="13"/>
        <v>735</v>
      </c>
      <c r="C88" s="1">
        <f t="shared" si="14"/>
        <v>402</v>
      </c>
      <c r="D88" s="1">
        <f t="shared" si="11"/>
        <v>145896</v>
      </c>
      <c r="E88" s="1">
        <f t="shared" si="10"/>
        <v>3938069</v>
      </c>
    </row>
    <row r="89" spans="1:5" x14ac:dyDescent="0.25">
      <c r="A89" s="1">
        <f t="shared" si="15"/>
        <v>87</v>
      </c>
      <c r="B89" s="1">
        <f t="shared" si="13"/>
        <v>742</v>
      </c>
      <c r="C89" s="1">
        <f t="shared" si="14"/>
        <v>406</v>
      </c>
      <c r="D89" s="1">
        <f t="shared" si="11"/>
        <v>150272</v>
      </c>
      <c r="E89" s="1">
        <f t="shared" ref="E89:E101" si="16">D89+E88</f>
        <v>4088341</v>
      </c>
    </row>
    <row r="90" spans="1:5" x14ac:dyDescent="0.25">
      <c r="A90" s="1">
        <f t="shared" si="15"/>
        <v>88</v>
      </c>
      <c r="B90" s="1">
        <f t="shared" si="13"/>
        <v>749</v>
      </c>
      <c r="C90" s="1">
        <f t="shared" si="14"/>
        <v>410</v>
      </c>
      <c r="D90" s="1">
        <f t="shared" si="11"/>
        <v>154780</v>
      </c>
      <c r="E90" s="1">
        <f t="shared" si="16"/>
        <v>4243121</v>
      </c>
    </row>
    <row r="91" spans="1:5" x14ac:dyDescent="0.25">
      <c r="A91" s="1">
        <f t="shared" si="15"/>
        <v>89</v>
      </c>
      <c r="B91" s="1">
        <f t="shared" si="13"/>
        <v>756</v>
      </c>
      <c r="C91" s="1">
        <f t="shared" si="14"/>
        <v>414</v>
      </c>
      <c r="D91" s="1">
        <f t="shared" si="11"/>
        <v>159423</v>
      </c>
      <c r="E91" s="1">
        <f t="shared" si="16"/>
        <v>4402544</v>
      </c>
    </row>
    <row r="92" spans="1:5" x14ac:dyDescent="0.25">
      <c r="A92" s="1">
        <f t="shared" si="15"/>
        <v>90</v>
      </c>
      <c r="B92" s="1">
        <f t="shared" si="13"/>
        <v>763</v>
      </c>
      <c r="C92" s="1">
        <f t="shared" si="14"/>
        <v>418</v>
      </c>
      <c r="D92" s="1">
        <f t="shared" si="11"/>
        <v>164205</v>
      </c>
      <c r="E92" s="1">
        <f t="shared" si="16"/>
        <v>4566749</v>
      </c>
    </row>
    <row r="93" spans="1:5" x14ac:dyDescent="0.25">
      <c r="A93" s="1">
        <f t="shared" si="15"/>
        <v>91</v>
      </c>
      <c r="B93" s="1">
        <f t="shared" si="13"/>
        <v>770</v>
      </c>
      <c r="C93" s="1">
        <f t="shared" si="14"/>
        <v>422</v>
      </c>
      <c r="D93" s="1">
        <f t="shared" si="11"/>
        <v>169131</v>
      </c>
      <c r="E93" s="1">
        <f t="shared" si="16"/>
        <v>4735880</v>
      </c>
    </row>
    <row r="94" spans="1:5" x14ac:dyDescent="0.25">
      <c r="A94" s="1">
        <f t="shared" si="15"/>
        <v>92</v>
      </c>
      <c r="B94" s="1">
        <f t="shared" si="13"/>
        <v>777</v>
      </c>
      <c r="C94" s="1">
        <f t="shared" si="14"/>
        <v>426</v>
      </c>
      <c r="D94" s="1">
        <f t="shared" si="11"/>
        <v>174204</v>
      </c>
      <c r="E94" s="1">
        <f t="shared" si="16"/>
        <v>4910084</v>
      </c>
    </row>
    <row r="95" spans="1:5" x14ac:dyDescent="0.25">
      <c r="A95" s="1">
        <f t="shared" si="15"/>
        <v>93</v>
      </c>
      <c r="B95" s="1">
        <f t="shared" si="13"/>
        <v>784</v>
      </c>
      <c r="C95" s="1">
        <f t="shared" si="14"/>
        <v>430</v>
      </c>
      <c r="D95" s="1">
        <f t="shared" si="11"/>
        <v>179430</v>
      </c>
      <c r="E95" s="1">
        <f t="shared" si="16"/>
        <v>5089514</v>
      </c>
    </row>
    <row r="96" spans="1:5" x14ac:dyDescent="0.25">
      <c r="A96" s="1">
        <f t="shared" si="15"/>
        <v>94</v>
      </c>
      <c r="B96" s="1">
        <f t="shared" si="13"/>
        <v>791</v>
      </c>
      <c r="C96" s="1">
        <f t="shared" si="14"/>
        <v>434</v>
      </c>
      <c r="D96" s="1">
        <f t="shared" si="11"/>
        <v>184812</v>
      </c>
      <c r="E96" s="1">
        <f t="shared" si="16"/>
        <v>5274326</v>
      </c>
    </row>
    <row r="97" spans="1:5" x14ac:dyDescent="0.25">
      <c r="A97" s="1">
        <f t="shared" si="15"/>
        <v>95</v>
      </c>
      <c r="B97" s="1">
        <f t="shared" si="13"/>
        <v>798</v>
      </c>
      <c r="C97" s="1">
        <f t="shared" si="14"/>
        <v>438</v>
      </c>
      <c r="D97" s="1">
        <f t="shared" si="11"/>
        <v>190356</v>
      </c>
      <c r="E97" s="1">
        <f t="shared" si="16"/>
        <v>5464682</v>
      </c>
    </row>
    <row r="98" spans="1:5" x14ac:dyDescent="0.25">
      <c r="A98" s="1">
        <f t="shared" si="15"/>
        <v>96</v>
      </c>
      <c r="B98" s="1">
        <f t="shared" si="13"/>
        <v>805</v>
      </c>
      <c r="C98" s="1">
        <f t="shared" si="14"/>
        <v>442</v>
      </c>
      <c r="D98" s="1">
        <f t="shared" si="11"/>
        <v>196066</v>
      </c>
      <c r="E98" s="1">
        <f t="shared" si="16"/>
        <v>5660748</v>
      </c>
    </row>
    <row r="99" spans="1:5" x14ac:dyDescent="0.25">
      <c r="A99" s="1">
        <f t="shared" si="15"/>
        <v>97</v>
      </c>
      <c r="B99" s="1">
        <f t="shared" si="13"/>
        <v>812</v>
      </c>
      <c r="C99" s="1">
        <f t="shared" si="14"/>
        <v>446</v>
      </c>
      <c r="D99" s="1">
        <f t="shared" si="11"/>
        <v>201947</v>
      </c>
      <c r="E99" s="1">
        <f t="shared" si="16"/>
        <v>5862695</v>
      </c>
    </row>
    <row r="100" spans="1:5" x14ac:dyDescent="0.25">
      <c r="A100" s="1">
        <f t="shared" si="15"/>
        <v>98</v>
      </c>
      <c r="B100" s="1">
        <f t="shared" si="13"/>
        <v>819</v>
      </c>
      <c r="C100" s="1">
        <f t="shared" si="14"/>
        <v>450</v>
      </c>
      <c r="D100" s="1">
        <f t="shared" si="11"/>
        <v>208005</v>
      </c>
      <c r="E100" s="1">
        <f t="shared" si="16"/>
        <v>6070700</v>
      </c>
    </row>
    <row r="101" spans="1:5" x14ac:dyDescent="0.25">
      <c r="A101" s="1">
        <f t="shared" si="15"/>
        <v>99</v>
      </c>
      <c r="B101" s="1">
        <f t="shared" si="13"/>
        <v>826</v>
      </c>
      <c r="C101" s="1">
        <f t="shared" si="14"/>
        <v>454</v>
      </c>
      <c r="D101" s="1">
        <f t="shared" si="11"/>
        <v>214245</v>
      </c>
      <c r="E101" s="1">
        <f t="shared" si="16"/>
        <v>6284945</v>
      </c>
    </row>
  </sheetData>
  <mergeCells count="1">
    <mergeCell ref="F3:F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3598-FE75-40E6-92C9-07FD455292EE}">
  <sheetPr codeName="Sheet2"/>
  <dimension ref="A1:F22"/>
  <sheetViews>
    <sheetView zoomScale="115" zoomScaleNormal="115" workbookViewId="0"/>
  </sheetViews>
  <sheetFormatPr defaultRowHeight="15" x14ac:dyDescent="0.25"/>
  <cols>
    <col min="1" max="1" width="21.85546875" style="1" customWidth="1"/>
    <col min="2" max="2" width="4.85546875" style="1" customWidth="1"/>
    <col min="3" max="3" width="12.5703125" style="1" customWidth="1"/>
    <col min="4" max="4" width="13.42578125" style="1" customWidth="1"/>
    <col min="5" max="5" width="23.85546875" customWidth="1"/>
    <col min="6" max="6" width="26.7109375" customWidth="1"/>
  </cols>
  <sheetData>
    <row r="1" spans="1:6" ht="24" x14ac:dyDescent="0.4">
      <c r="A1" s="9" t="s">
        <v>26</v>
      </c>
    </row>
    <row r="2" spans="1:6" ht="15" customHeight="1" x14ac:dyDescent="0.4">
      <c r="A2" s="10"/>
    </row>
    <row r="3" spans="1:6" x14ac:dyDescent="0.25">
      <c r="A3" s="57" t="s">
        <v>7</v>
      </c>
      <c r="B3" s="57"/>
      <c r="C3" s="12" t="s">
        <v>8</v>
      </c>
      <c r="D3" s="5" t="s">
        <v>9</v>
      </c>
      <c r="E3" s="5" t="s">
        <v>10</v>
      </c>
      <c r="F3" s="5" t="s">
        <v>3</v>
      </c>
    </row>
    <row r="4" spans="1:6" x14ac:dyDescent="0.25">
      <c r="A4" s="43" t="s">
        <v>36</v>
      </c>
      <c r="B4" s="50" t="s">
        <v>37</v>
      </c>
      <c r="C4" s="48" t="s">
        <v>17</v>
      </c>
      <c r="D4" s="43">
        <v>52</v>
      </c>
      <c r="E4" s="15" t="s">
        <v>40</v>
      </c>
      <c r="F4" s="46" t="s">
        <v>4</v>
      </c>
    </row>
    <row r="5" spans="1:6" x14ac:dyDescent="0.25">
      <c r="A5" s="44"/>
      <c r="B5" s="53"/>
      <c r="C5" s="52"/>
      <c r="D5" s="44"/>
      <c r="E5" s="14" t="s">
        <v>41</v>
      </c>
      <c r="F5" s="42"/>
    </row>
    <row r="6" spans="1:6" x14ac:dyDescent="0.25">
      <c r="A6" s="44"/>
      <c r="B6" s="53"/>
      <c r="C6" s="52"/>
      <c r="D6" s="44"/>
      <c r="E6" s="14" t="s">
        <v>39</v>
      </c>
      <c r="F6" s="42"/>
    </row>
    <row r="7" spans="1:6" x14ac:dyDescent="0.25">
      <c r="A7" s="45"/>
      <c r="B7" s="51"/>
      <c r="C7" s="49"/>
      <c r="D7" s="45"/>
      <c r="E7" s="16" t="s">
        <v>38</v>
      </c>
      <c r="F7" s="47"/>
    </row>
    <row r="8" spans="1:6" ht="15" customHeight="1" x14ac:dyDescent="0.25">
      <c r="A8" s="44" t="s">
        <v>11</v>
      </c>
      <c r="B8" s="44" t="s">
        <v>21</v>
      </c>
      <c r="C8" s="55" t="s">
        <v>13</v>
      </c>
      <c r="D8" s="44" t="s">
        <v>12</v>
      </c>
      <c r="E8" s="3" t="s">
        <v>14</v>
      </c>
      <c r="F8" s="42" t="s">
        <v>4</v>
      </c>
    </row>
    <row r="9" spans="1:6" ht="15" customHeight="1" x14ac:dyDescent="0.25">
      <c r="A9" s="44"/>
      <c r="B9" s="44"/>
      <c r="C9" s="55"/>
      <c r="D9" s="44"/>
      <c r="E9" s="3" t="s">
        <v>15</v>
      </c>
      <c r="F9" s="42"/>
    </row>
    <row r="10" spans="1:6" ht="15" customHeight="1" x14ac:dyDescent="0.25">
      <c r="A10" s="45"/>
      <c r="B10" s="45"/>
      <c r="C10" s="56"/>
      <c r="D10" s="45"/>
      <c r="E10" s="4" t="s">
        <v>16</v>
      </c>
      <c r="F10" s="47"/>
    </row>
    <row r="11" spans="1:6" ht="15" customHeight="1" x14ac:dyDescent="0.25">
      <c r="A11" s="43" t="s">
        <v>25</v>
      </c>
      <c r="B11" s="43" t="s">
        <v>21</v>
      </c>
      <c r="C11" s="48" t="s">
        <v>17</v>
      </c>
      <c r="D11" s="44">
        <v>96</v>
      </c>
      <c r="E11" s="3" t="s">
        <v>30</v>
      </c>
      <c r="F11" s="42" t="s">
        <v>4</v>
      </c>
    </row>
    <row r="12" spans="1:6" ht="15" customHeight="1" x14ac:dyDescent="0.25">
      <c r="A12" s="44"/>
      <c r="B12" s="44"/>
      <c r="C12" s="52"/>
      <c r="D12" s="44"/>
      <c r="E12" s="3" t="s">
        <v>31</v>
      </c>
      <c r="F12" s="42"/>
    </row>
    <row r="13" spans="1:6" x14ac:dyDescent="0.25">
      <c r="A13" s="45"/>
      <c r="B13" s="45"/>
      <c r="C13" s="49"/>
      <c r="D13" s="45"/>
      <c r="E13" s="4" t="s">
        <v>44</v>
      </c>
      <c r="F13" s="47"/>
    </row>
    <row r="14" spans="1:6" x14ac:dyDescent="0.25">
      <c r="A14" s="44" t="s">
        <v>27</v>
      </c>
      <c r="B14" s="43" t="s">
        <v>21</v>
      </c>
      <c r="C14" s="54" t="s">
        <v>13</v>
      </c>
      <c r="D14" s="44" t="s">
        <v>45</v>
      </c>
      <c r="E14" s="3" t="s">
        <v>29</v>
      </c>
      <c r="F14" s="42" t="s">
        <v>20</v>
      </c>
    </row>
    <row r="15" spans="1:6" x14ac:dyDescent="0.25">
      <c r="A15" s="44"/>
      <c r="B15" s="44"/>
      <c r="C15" s="55"/>
      <c r="D15" s="44"/>
      <c r="E15" s="3" t="s">
        <v>32</v>
      </c>
      <c r="F15" s="42"/>
    </row>
    <row r="16" spans="1:6" x14ac:dyDescent="0.25">
      <c r="A16" s="45"/>
      <c r="B16" s="45"/>
      <c r="C16" s="56"/>
      <c r="D16" s="45"/>
      <c r="E16" s="4" t="s">
        <v>28</v>
      </c>
      <c r="F16" s="47"/>
    </row>
    <row r="17" spans="1:6" x14ac:dyDescent="0.25">
      <c r="A17" s="43" t="s">
        <v>42</v>
      </c>
      <c r="B17" s="43" t="s">
        <v>21</v>
      </c>
      <c r="C17" s="48" t="s">
        <v>17</v>
      </c>
      <c r="D17" s="44">
        <v>137</v>
      </c>
      <c r="E17" t="s">
        <v>43</v>
      </c>
      <c r="F17" s="42" t="s">
        <v>20</v>
      </c>
    </row>
    <row r="18" spans="1:6" x14ac:dyDescent="0.25">
      <c r="A18" s="44"/>
      <c r="B18" s="44"/>
      <c r="C18" s="52"/>
      <c r="D18" s="44"/>
      <c r="E18" t="s">
        <v>18</v>
      </c>
      <c r="F18" s="42"/>
    </row>
    <row r="19" spans="1:6" x14ac:dyDescent="0.25">
      <c r="A19" s="45"/>
      <c r="B19" s="45"/>
      <c r="C19" s="49"/>
      <c r="D19" s="45"/>
      <c r="E19" t="s">
        <v>19</v>
      </c>
      <c r="F19" s="47"/>
    </row>
    <row r="20" spans="1:6" x14ac:dyDescent="0.25">
      <c r="A20" s="6" t="s">
        <v>23</v>
      </c>
      <c r="B20" s="6" t="s">
        <v>22</v>
      </c>
      <c r="C20" s="11" t="s">
        <v>17</v>
      </c>
      <c r="D20" s="6">
        <v>184</v>
      </c>
      <c r="E20" s="7" t="s">
        <v>24</v>
      </c>
      <c r="F20" s="8" t="s">
        <v>20</v>
      </c>
    </row>
    <row r="21" spans="1:6" x14ac:dyDescent="0.25">
      <c r="A21" s="43" t="s">
        <v>33</v>
      </c>
      <c r="B21" s="50" t="s">
        <v>22</v>
      </c>
      <c r="C21" s="48" t="s">
        <v>17</v>
      </c>
      <c r="D21" s="43">
        <v>209</v>
      </c>
      <c r="E21" s="13" t="s">
        <v>34</v>
      </c>
      <c r="F21" s="46" t="s">
        <v>20</v>
      </c>
    </row>
    <row r="22" spans="1:6" x14ac:dyDescent="0.25">
      <c r="A22" s="45"/>
      <c r="B22" s="51"/>
      <c r="C22" s="49"/>
      <c r="D22" s="45"/>
      <c r="E22" s="4" t="s">
        <v>35</v>
      </c>
      <c r="F22" s="47"/>
    </row>
  </sheetData>
  <mergeCells count="31">
    <mergeCell ref="A3:B3"/>
    <mergeCell ref="B17:B19"/>
    <mergeCell ref="B8:B10"/>
    <mergeCell ref="A11:A13"/>
    <mergeCell ref="B11:B13"/>
    <mergeCell ref="A8:A10"/>
    <mergeCell ref="A17:A19"/>
    <mergeCell ref="A21:A22"/>
    <mergeCell ref="B21:B22"/>
    <mergeCell ref="C4:C7"/>
    <mergeCell ref="A4:A7"/>
    <mergeCell ref="B4:B7"/>
    <mergeCell ref="A14:A16"/>
    <mergeCell ref="B14:B16"/>
    <mergeCell ref="C14:C16"/>
    <mergeCell ref="C8:C10"/>
    <mergeCell ref="C17:C19"/>
    <mergeCell ref="C11:C13"/>
    <mergeCell ref="D4:D7"/>
    <mergeCell ref="F4:F7"/>
    <mergeCell ref="F21:F22"/>
    <mergeCell ref="D21:D22"/>
    <mergeCell ref="C21:C22"/>
    <mergeCell ref="D11:D13"/>
    <mergeCell ref="F11:F13"/>
    <mergeCell ref="D14:D16"/>
    <mergeCell ref="F14:F16"/>
    <mergeCell ref="F8:F10"/>
    <mergeCell ref="D8:D10"/>
    <mergeCell ref="F17:F19"/>
    <mergeCell ref="D17:D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A0E8-4612-49A3-9CD4-2D5734B3DCEA}">
  <dimension ref="A1:W34"/>
  <sheetViews>
    <sheetView tabSelected="1" zoomScaleNormal="100" workbookViewId="0">
      <selection activeCell="M28" sqref="M28"/>
    </sheetView>
  </sheetViews>
  <sheetFormatPr defaultRowHeight="15" x14ac:dyDescent="0.25"/>
  <cols>
    <col min="1" max="1" width="25" style="1" customWidth="1"/>
    <col min="2" max="2" width="3" style="1" customWidth="1"/>
    <col min="3" max="3" width="22.5703125" style="1" customWidth="1"/>
    <col min="5" max="5" width="25.140625" customWidth="1"/>
    <col min="6" max="6" width="3.140625" customWidth="1"/>
    <col min="8" max="8" width="12.5703125" customWidth="1"/>
    <col min="9" max="9" width="9.42578125" customWidth="1"/>
    <col min="10" max="10" width="10" customWidth="1"/>
    <col min="11" max="11" width="22.5703125" customWidth="1"/>
    <col min="13" max="13" width="25.140625" style="1" customWidth="1"/>
    <col min="14" max="14" width="3.140625" style="1" customWidth="1"/>
    <col min="15" max="16" width="9.140625" style="1"/>
    <col min="17" max="17" width="22.5703125" style="1" customWidth="1"/>
    <col min="19" max="19" width="24.85546875" customWidth="1"/>
    <col min="20" max="20" width="3" customWidth="1"/>
    <col min="21" max="21" width="12.7109375" customWidth="1"/>
    <col min="22" max="22" width="12.85546875" customWidth="1"/>
    <col min="23" max="23" width="22.5703125" customWidth="1"/>
  </cols>
  <sheetData>
    <row r="1" spans="1:23" ht="24" x14ac:dyDescent="0.4">
      <c r="A1" s="37" t="s">
        <v>46</v>
      </c>
      <c r="B1" s="37"/>
    </row>
    <row r="2" spans="1:23" ht="15.75" thickBot="1" x14ac:dyDescent="0.3"/>
    <row r="3" spans="1:23" ht="15.75" thickBot="1" x14ac:dyDescent="0.3">
      <c r="A3" s="40" t="s">
        <v>7</v>
      </c>
      <c r="B3" s="41"/>
      <c r="C3" s="35" t="s">
        <v>47</v>
      </c>
      <c r="E3" s="40" t="s">
        <v>7</v>
      </c>
      <c r="F3" s="41"/>
      <c r="G3" s="34" t="s">
        <v>8</v>
      </c>
      <c r="H3" s="34" t="s">
        <v>13</v>
      </c>
      <c r="I3" s="34" t="s">
        <v>114</v>
      </c>
      <c r="J3" s="34" t="s">
        <v>150</v>
      </c>
      <c r="K3" s="35" t="s">
        <v>47</v>
      </c>
      <c r="M3" s="38" t="s">
        <v>7</v>
      </c>
      <c r="N3" s="39"/>
      <c r="O3" s="22" t="s">
        <v>8</v>
      </c>
      <c r="P3" s="22" t="s">
        <v>114</v>
      </c>
      <c r="Q3" s="23" t="s">
        <v>47</v>
      </c>
      <c r="S3" s="40" t="s">
        <v>7</v>
      </c>
      <c r="T3" s="41"/>
      <c r="U3" s="34" t="s">
        <v>8</v>
      </c>
      <c r="V3" s="34" t="s">
        <v>128</v>
      </c>
      <c r="W3" s="35" t="s">
        <v>47</v>
      </c>
    </row>
    <row r="4" spans="1:23" x14ac:dyDescent="0.25">
      <c r="A4" s="24" t="s">
        <v>182</v>
      </c>
      <c r="B4" s="25">
        <v>1</v>
      </c>
      <c r="C4" s="26" t="s">
        <v>58</v>
      </c>
      <c r="E4" s="24" t="s">
        <v>66</v>
      </c>
      <c r="F4" s="25">
        <v>1</v>
      </c>
      <c r="G4" s="36" t="s">
        <v>13</v>
      </c>
      <c r="H4" s="25" t="s">
        <v>67</v>
      </c>
      <c r="I4" s="25">
        <v>44</v>
      </c>
      <c r="J4" s="25" t="s">
        <v>151</v>
      </c>
      <c r="K4" s="26" t="s">
        <v>4</v>
      </c>
      <c r="M4" s="24" t="s">
        <v>113</v>
      </c>
      <c r="N4" s="25">
        <v>1</v>
      </c>
      <c r="O4" s="28" t="s">
        <v>17</v>
      </c>
      <c r="P4" s="25">
        <v>4</v>
      </c>
      <c r="Q4" s="26" t="s">
        <v>49</v>
      </c>
      <c r="S4" s="24" t="s">
        <v>127</v>
      </c>
      <c r="T4" s="25">
        <v>1</v>
      </c>
      <c r="U4" s="30" t="s">
        <v>126</v>
      </c>
      <c r="V4" s="32" t="s">
        <v>129</v>
      </c>
      <c r="W4" s="26" t="s">
        <v>4</v>
      </c>
    </row>
    <row r="5" spans="1:23" x14ac:dyDescent="0.25">
      <c r="A5" s="17" t="s">
        <v>54</v>
      </c>
      <c r="B5" s="62">
        <v>1</v>
      </c>
      <c r="C5" s="18" t="s">
        <v>20</v>
      </c>
      <c r="E5" s="58" t="s">
        <v>183</v>
      </c>
      <c r="F5" s="59">
        <v>3</v>
      </c>
      <c r="G5" s="60" t="s">
        <v>13</v>
      </c>
      <c r="H5" s="59" t="s">
        <v>184</v>
      </c>
      <c r="I5" s="59">
        <v>70</v>
      </c>
      <c r="J5" s="59" t="s">
        <v>151</v>
      </c>
      <c r="K5" s="61" t="s">
        <v>58</v>
      </c>
      <c r="M5" s="17" t="s">
        <v>115</v>
      </c>
      <c r="N5" s="1">
        <v>1</v>
      </c>
      <c r="O5" s="33" t="s">
        <v>17</v>
      </c>
      <c r="P5" s="1">
        <v>13</v>
      </c>
      <c r="Q5" s="18" t="s">
        <v>4</v>
      </c>
      <c r="S5" s="17" t="s">
        <v>130</v>
      </c>
      <c r="T5" s="62">
        <v>1</v>
      </c>
      <c r="U5" s="65" t="s">
        <v>126</v>
      </c>
      <c r="V5" s="67" t="s">
        <v>131</v>
      </c>
      <c r="W5" s="18" t="s">
        <v>4</v>
      </c>
    </row>
    <row r="6" spans="1:23" x14ac:dyDescent="0.25">
      <c r="A6" s="17" t="s">
        <v>53</v>
      </c>
      <c r="B6" s="62">
        <v>1</v>
      </c>
      <c r="C6" s="18" t="s">
        <v>20</v>
      </c>
      <c r="E6" s="17" t="s">
        <v>78</v>
      </c>
      <c r="F6" s="62">
        <v>1</v>
      </c>
      <c r="G6" s="60" t="s">
        <v>13</v>
      </c>
      <c r="H6" s="62" t="s">
        <v>79</v>
      </c>
      <c r="I6" s="62">
        <v>44</v>
      </c>
      <c r="J6" s="62" t="s">
        <v>155</v>
      </c>
      <c r="K6" s="18" t="s">
        <v>20</v>
      </c>
      <c r="M6" s="17" t="s">
        <v>166</v>
      </c>
      <c r="N6" s="1">
        <v>1</v>
      </c>
      <c r="O6" s="33" t="s">
        <v>17</v>
      </c>
      <c r="P6" s="1">
        <v>39</v>
      </c>
      <c r="Q6" s="18" t="s">
        <v>58</v>
      </c>
      <c r="S6" s="17" t="s">
        <v>132</v>
      </c>
      <c r="T6" s="62">
        <v>2</v>
      </c>
      <c r="U6" s="65" t="s">
        <v>126</v>
      </c>
      <c r="V6" s="67" t="s">
        <v>133</v>
      </c>
      <c r="W6" s="18" t="s">
        <v>4</v>
      </c>
    </row>
    <row r="7" spans="1:23" x14ac:dyDescent="0.25">
      <c r="A7" s="17" t="s">
        <v>50</v>
      </c>
      <c r="B7" s="62">
        <v>1</v>
      </c>
      <c r="C7" s="18" t="s">
        <v>4</v>
      </c>
      <c r="E7" s="17" t="s">
        <v>96</v>
      </c>
      <c r="F7" s="62">
        <v>2</v>
      </c>
      <c r="G7" s="60" t="s">
        <v>13</v>
      </c>
      <c r="H7" s="62" t="s">
        <v>97</v>
      </c>
      <c r="I7" s="62">
        <v>35</v>
      </c>
      <c r="J7" s="62" t="s">
        <v>155</v>
      </c>
      <c r="K7" s="18" t="s">
        <v>20</v>
      </c>
      <c r="M7" s="17" t="s">
        <v>116</v>
      </c>
      <c r="N7" s="1">
        <v>2</v>
      </c>
      <c r="O7" s="33" t="s">
        <v>17</v>
      </c>
      <c r="P7" s="1">
        <v>21</v>
      </c>
      <c r="Q7" s="18" t="s">
        <v>4</v>
      </c>
      <c r="S7" s="17" t="s">
        <v>134</v>
      </c>
      <c r="T7" s="62">
        <v>2</v>
      </c>
      <c r="U7" s="65" t="s">
        <v>126</v>
      </c>
      <c r="V7" s="67" t="s">
        <v>135</v>
      </c>
      <c r="W7" s="18" t="s">
        <v>4</v>
      </c>
    </row>
    <row r="8" spans="1:23" x14ac:dyDescent="0.25">
      <c r="A8" s="17" t="s">
        <v>60</v>
      </c>
      <c r="B8" s="62">
        <v>1</v>
      </c>
      <c r="C8" s="18" t="s">
        <v>20</v>
      </c>
      <c r="E8" s="17" t="s">
        <v>100</v>
      </c>
      <c r="F8" s="62">
        <v>4</v>
      </c>
      <c r="G8" s="60" t="s">
        <v>13</v>
      </c>
      <c r="H8" s="62" t="s">
        <v>101</v>
      </c>
      <c r="I8" s="62">
        <v>56</v>
      </c>
      <c r="J8" s="62" t="s">
        <v>155</v>
      </c>
      <c r="K8" s="18" t="s">
        <v>20</v>
      </c>
      <c r="M8" s="17" t="s">
        <v>120</v>
      </c>
      <c r="N8" s="1">
        <v>2</v>
      </c>
      <c r="O8" s="33" t="s">
        <v>17</v>
      </c>
      <c r="P8" s="1">
        <v>56</v>
      </c>
      <c r="Q8" s="18" t="s">
        <v>20</v>
      </c>
      <c r="S8" s="17" t="s">
        <v>136</v>
      </c>
      <c r="T8" s="62">
        <v>3</v>
      </c>
      <c r="U8" s="65" t="s">
        <v>126</v>
      </c>
      <c r="V8" s="67" t="s">
        <v>137</v>
      </c>
      <c r="W8" s="18" t="s">
        <v>4</v>
      </c>
    </row>
    <row r="9" spans="1:23" x14ac:dyDescent="0.25">
      <c r="A9" s="17" t="s">
        <v>48</v>
      </c>
      <c r="B9" s="62">
        <v>1</v>
      </c>
      <c r="C9" s="18" t="s">
        <v>4</v>
      </c>
      <c r="E9" s="17" t="s">
        <v>109</v>
      </c>
      <c r="F9" s="62">
        <v>2</v>
      </c>
      <c r="G9" s="60" t="s">
        <v>13</v>
      </c>
      <c r="H9" s="62" t="s">
        <v>110</v>
      </c>
      <c r="I9" s="62">
        <v>32</v>
      </c>
      <c r="J9" s="62" t="s">
        <v>157</v>
      </c>
      <c r="K9" s="18" t="s">
        <v>20</v>
      </c>
      <c r="M9" s="17" t="s">
        <v>165</v>
      </c>
      <c r="N9" s="1">
        <v>2</v>
      </c>
      <c r="O9" s="33" t="s">
        <v>17</v>
      </c>
      <c r="P9" s="1">
        <v>73</v>
      </c>
      <c r="Q9" s="18" t="s">
        <v>58</v>
      </c>
      <c r="S9" s="17" t="s">
        <v>138</v>
      </c>
      <c r="T9" s="62">
        <v>3</v>
      </c>
      <c r="U9" s="65" t="s">
        <v>126</v>
      </c>
      <c r="V9" s="67" t="s">
        <v>139</v>
      </c>
      <c r="W9" s="18" t="s">
        <v>20</v>
      </c>
    </row>
    <row r="10" spans="1:23" x14ac:dyDescent="0.25">
      <c r="A10" s="17" t="s">
        <v>56</v>
      </c>
      <c r="B10" s="62">
        <v>1</v>
      </c>
      <c r="C10" s="18" t="s">
        <v>58</v>
      </c>
      <c r="E10" s="17" t="s">
        <v>73</v>
      </c>
      <c r="F10" s="62">
        <v>3</v>
      </c>
      <c r="G10" s="60" t="s">
        <v>13</v>
      </c>
      <c r="H10" s="62" t="s">
        <v>74</v>
      </c>
      <c r="I10" s="62">
        <v>65</v>
      </c>
      <c r="J10" s="62" t="s">
        <v>157</v>
      </c>
      <c r="K10" s="18" t="s">
        <v>4</v>
      </c>
      <c r="M10" s="17" t="s">
        <v>117</v>
      </c>
      <c r="N10" s="1">
        <v>3</v>
      </c>
      <c r="O10" s="33" t="s">
        <v>17</v>
      </c>
      <c r="P10" s="1">
        <v>36</v>
      </c>
      <c r="Q10" s="18" t="s">
        <v>4</v>
      </c>
      <c r="S10" s="17" t="s">
        <v>140</v>
      </c>
      <c r="T10" s="62">
        <v>3</v>
      </c>
      <c r="U10" s="65" t="s">
        <v>126</v>
      </c>
      <c r="V10" s="62" t="s">
        <v>141</v>
      </c>
      <c r="W10" s="18" t="s">
        <v>20</v>
      </c>
    </row>
    <row r="11" spans="1:23" x14ac:dyDescent="0.25">
      <c r="A11" s="17" t="s">
        <v>61</v>
      </c>
      <c r="B11" s="62">
        <v>2</v>
      </c>
      <c r="C11" s="18" t="s">
        <v>20</v>
      </c>
      <c r="E11" s="17" t="s">
        <v>178</v>
      </c>
      <c r="F11" s="62">
        <v>4</v>
      </c>
      <c r="G11" s="60" t="s">
        <v>13</v>
      </c>
      <c r="H11" s="62" t="s">
        <v>179</v>
      </c>
      <c r="I11" s="62">
        <v>52</v>
      </c>
      <c r="J11" s="62" t="s">
        <v>157</v>
      </c>
      <c r="K11" s="18" t="s">
        <v>4</v>
      </c>
      <c r="M11" s="17" t="s">
        <v>118</v>
      </c>
      <c r="N11" s="1">
        <v>3</v>
      </c>
      <c r="O11" s="33" t="s">
        <v>17</v>
      </c>
      <c r="P11" s="1">
        <v>46</v>
      </c>
      <c r="Q11" s="18" t="s">
        <v>4</v>
      </c>
      <c r="S11" s="17" t="s">
        <v>142</v>
      </c>
      <c r="T11" s="62">
        <v>3</v>
      </c>
      <c r="U11" s="65" t="s">
        <v>126</v>
      </c>
      <c r="V11" s="62" t="s">
        <v>143</v>
      </c>
      <c r="W11" s="18" t="s">
        <v>20</v>
      </c>
    </row>
    <row r="12" spans="1:23" x14ac:dyDescent="0.25">
      <c r="A12" s="17" t="s">
        <v>51</v>
      </c>
      <c r="B12" s="62">
        <v>2</v>
      </c>
      <c r="C12" s="18" t="s">
        <v>4</v>
      </c>
      <c r="E12" s="17" t="s">
        <v>98</v>
      </c>
      <c r="F12" s="62">
        <v>4</v>
      </c>
      <c r="G12" s="60" t="s">
        <v>13</v>
      </c>
      <c r="H12" s="62" t="s">
        <v>99</v>
      </c>
      <c r="I12" s="62">
        <v>105</v>
      </c>
      <c r="J12" s="62" t="s">
        <v>157</v>
      </c>
      <c r="K12" s="18" t="s">
        <v>20</v>
      </c>
      <c r="M12" s="17" t="s">
        <v>121</v>
      </c>
      <c r="N12" s="1">
        <v>3</v>
      </c>
      <c r="O12" s="33" t="s">
        <v>17</v>
      </c>
      <c r="P12" s="1">
        <v>71</v>
      </c>
      <c r="Q12" s="18" t="s">
        <v>20</v>
      </c>
      <c r="S12" s="17" t="s">
        <v>144</v>
      </c>
      <c r="T12" s="62">
        <v>4</v>
      </c>
      <c r="U12" s="65" t="s">
        <v>126</v>
      </c>
      <c r="V12" s="68" t="s">
        <v>145</v>
      </c>
      <c r="W12" s="18" t="s">
        <v>20</v>
      </c>
    </row>
    <row r="13" spans="1:23" x14ac:dyDescent="0.25">
      <c r="A13" s="17" t="s">
        <v>59</v>
      </c>
      <c r="B13" s="62">
        <v>2</v>
      </c>
      <c r="C13" s="18" t="s">
        <v>4</v>
      </c>
      <c r="E13" s="17" t="s">
        <v>68</v>
      </c>
      <c r="F13" s="62">
        <v>1</v>
      </c>
      <c r="G13" s="60" t="s">
        <v>13</v>
      </c>
      <c r="H13" s="62" t="s">
        <v>69</v>
      </c>
      <c r="I13" s="62">
        <v>40</v>
      </c>
      <c r="J13" s="62" t="s">
        <v>152</v>
      </c>
      <c r="K13" s="18" t="s">
        <v>4</v>
      </c>
      <c r="M13" s="17" t="s">
        <v>123</v>
      </c>
      <c r="N13" s="1">
        <v>3</v>
      </c>
      <c r="O13" s="33" t="s">
        <v>17</v>
      </c>
      <c r="P13" s="1">
        <v>78</v>
      </c>
      <c r="Q13" s="18" t="s">
        <v>20</v>
      </c>
      <c r="S13" s="17" t="s">
        <v>149</v>
      </c>
      <c r="T13" s="62">
        <v>4</v>
      </c>
      <c r="U13" s="65" t="s">
        <v>126</v>
      </c>
      <c r="V13" s="62" t="s">
        <v>146</v>
      </c>
      <c r="W13" s="18" t="s">
        <v>20</v>
      </c>
    </row>
    <row r="14" spans="1:23" x14ac:dyDescent="0.25">
      <c r="A14" s="17" t="s">
        <v>62</v>
      </c>
      <c r="B14" s="62">
        <v>2</v>
      </c>
      <c r="C14" s="18" t="s">
        <v>20</v>
      </c>
      <c r="E14" s="17" t="s">
        <v>70</v>
      </c>
      <c r="F14" s="62">
        <v>2</v>
      </c>
      <c r="G14" s="60" t="s">
        <v>13</v>
      </c>
      <c r="H14" s="62" t="s">
        <v>71</v>
      </c>
      <c r="I14" s="62">
        <v>32</v>
      </c>
      <c r="J14" s="62" t="s">
        <v>152</v>
      </c>
      <c r="K14" s="18" t="s">
        <v>4</v>
      </c>
      <c r="M14" s="17" t="s">
        <v>122</v>
      </c>
      <c r="N14" s="1">
        <v>3</v>
      </c>
      <c r="O14" s="33" t="s">
        <v>17</v>
      </c>
      <c r="P14" s="1">
        <v>86</v>
      </c>
      <c r="Q14" s="18" t="s">
        <v>20</v>
      </c>
      <c r="S14" s="17" t="s">
        <v>148</v>
      </c>
      <c r="T14" s="62">
        <v>4</v>
      </c>
      <c r="U14" s="65" t="s">
        <v>126</v>
      </c>
      <c r="V14" s="62" t="s">
        <v>147</v>
      </c>
      <c r="W14" s="18" t="s">
        <v>20</v>
      </c>
    </row>
    <row r="15" spans="1:23" x14ac:dyDescent="0.25">
      <c r="A15" s="17" t="s">
        <v>57</v>
      </c>
      <c r="B15" s="62">
        <v>2</v>
      </c>
      <c r="C15" s="18" t="s">
        <v>4</v>
      </c>
      <c r="E15" s="58" t="s">
        <v>186</v>
      </c>
      <c r="F15" s="59">
        <v>3</v>
      </c>
      <c r="G15" s="60" t="s">
        <v>13</v>
      </c>
      <c r="H15" s="59" t="s">
        <v>187</v>
      </c>
      <c r="I15" s="59">
        <v>65</v>
      </c>
      <c r="J15" s="59" t="s">
        <v>152</v>
      </c>
      <c r="K15" s="61" t="s">
        <v>20</v>
      </c>
      <c r="M15" s="17" t="s">
        <v>163</v>
      </c>
      <c r="N15" s="1">
        <v>3</v>
      </c>
      <c r="O15" s="33" t="s">
        <v>17</v>
      </c>
      <c r="P15" s="1">
        <v>109</v>
      </c>
      <c r="Q15" s="18" t="s">
        <v>58</v>
      </c>
      <c r="S15" s="17" t="s">
        <v>190</v>
      </c>
      <c r="T15" s="62">
        <v>4</v>
      </c>
      <c r="U15" s="65" t="s">
        <v>126</v>
      </c>
      <c r="V15" s="67" t="s">
        <v>191</v>
      </c>
      <c r="W15" s="18" t="s">
        <v>58</v>
      </c>
    </row>
    <row r="16" spans="1:23" x14ac:dyDescent="0.25">
      <c r="A16" s="17" t="s">
        <v>63</v>
      </c>
      <c r="B16" s="62">
        <v>3</v>
      </c>
      <c r="C16" s="18" t="s">
        <v>20</v>
      </c>
      <c r="E16" s="17" t="s">
        <v>94</v>
      </c>
      <c r="F16" s="62">
        <v>4</v>
      </c>
      <c r="G16" s="60" t="s">
        <v>13</v>
      </c>
      <c r="H16" s="62" t="s">
        <v>95</v>
      </c>
      <c r="I16" s="62">
        <v>52</v>
      </c>
      <c r="J16" s="62" t="s">
        <v>152</v>
      </c>
      <c r="K16" s="18" t="s">
        <v>20</v>
      </c>
      <c r="M16" s="17" t="s">
        <v>119</v>
      </c>
      <c r="N16" s="1">
        <v>4</v>
      </c>
      <c r="O16" s="33" t="s">
        <v>17</v>
      </c>
      <c r="P16" s="1">
        <v>67</v>
      </c>
      <c r="Q16" s="18" t="s">
        <v>4</v>
      </c>
      <c r="S16" s="58" t="s">
        <v>192</v>
      </c>
      <c r="T16" s="62">
        <v>4</v>
      </c>
      <c r="U16" s="65" t="s">
        <v>126</v>
      </c>
      <c r="V16" s="66" t="s">
        <v>193</v>
      </c>
      <c r="W16" s="61" t="s">
        <v>58</v>
      </c>
    </row>
    <row r="17" spans="1:23" ht="15.75" thickBot="1" x14ac:dyDescent="0.3">
      <c r="A17" s="17" t="s">
        <v>170</v>
      </c>
      <c r="B17" s="62">
        <v>3</v>
      </c>
      <c r="C17" s="18" t="s">
        <v>20</v>
      </c>
      <c r="E17" s="17" t="s">
        <v>82</v>
      </c>
      <c r="F17" s="62">
        <v>4</v>
      </c>
      <c r="G17" s="60" t="s">
        <v>13</v>
      </c>
      <c r="H17" s="62" t="s">
        <v>83</v>
      </c>
      <c r="I17" s="62">
        <v>105</v>
      </c>
      <c r="J17" s="62" t="s">
        <v>152</v>
      </c>
      <c r="K17" s="18" t="s">
        <v>20</v>
      </c>
      <c r="M17" s="17" t="s">
        <v>124</v>
      </c>
      <c r="N17" s="1">
        <v>4</v>
      </c>
      <c r="O17" s="33" t="s">
        <v>17</v>
      </c>
      <c r="P17" s="1">
        <v>103</v>
      </c>
      <c r="Q17" s="18" t="s">
        <v>20</v>
      </c>
      <c r="S17" s="63" t="s">
        <v>194</v>
      </c>
      <c r="T17" s="20">
        <v>5</v>
      </c>
      <c r="U17" s="31" t="s">
        <v>126</v>
      </c>
      <c r="V17" s="20" t="s">
        <v>195</v>
      </c>
      <c r="W17" s="64" t="s">
        <v>58</v>
      </c>
    </row>
    <row r="18" spans="1:23" x14ac:dyDescent="0.25">
      <c r="A18" s="17" t="s">
        <v>171</v>
      </c>
      <c r="B18" s="62">
        <v>3</v>
      </c>
      <c r="C18" s="18" t="s">
        <v>20</v>
      </c>
      <c r="E18" s="17" t="s">
        <v>84</v>
      </c>
      <c r="F18" s="62">
        <v>1</v>
      </c>
      <c r="G18" s="60" t="s">
        <v>13</v>
      </c>
      <c r="H18" s="62" t="s">
        <v>85</v>
      </c>
      <c r="I18" s="62">
        <v>36</v>
      </c>
      <c r="J18" s="62" t="s">
        <v>153</v>
      </c>
      <c r="K18" s="18" t="s">
        <v>4</v>
      </c>
      <c r="M18" s="17" t="s">
        <v>125</v>
      </c>
      <c r="N18" s="1">
        <v>4</v>
      </c>
      <c r="O18" s="33" t="s">
        <v>17</v>
      </c>
      <c r="P18" s="1">
        <v>139</v>
      </c>
      <c r="Q18" s="18" t="s">
        <v>20</v>
      </c>
    </row>
    <row r="19" spans="1:23" x14ac:dyDescent="0.25">
      <c r="A19" s="17" t="s">
        <v>172</v>
      </c>
      <c r="B19" s="62">
        <v>3</v>
      </c>
      <c r="C19" s="18" t="s">
        <v>20</v>
      </c>
      <c r="E19" s="17" t="s">
        <v>86</v>
      </c>
      <c r="F19" s="62">
        <v>2</v>
      </c>
      <c r="G19" s="60" t="s">
        <v>13</v>
      </c>
      <c r="H19" s="62" t="s">
        <v>87</v>
      </c>
      <c r="I19" s="62">
        <v>29</v>
      </c>
      <c r="J19" s="62" t="s">
        <v>153</v>
      </c>
      <c r="K19" s="18" t="s">
        <v>4</v>
      </c>
      <c r="M19" s="17" t="s">
        <v>164</v>
      </c>
      <c r="N19" s="1">
        <v>4</v>
      </c>
      <c r="O19" s="33" t="s">
        <v>17</v>
      </c>
      <c r="P19" s="1">
        <v>165</v>
      </c>
      <c r="Q19" s="18" t="s">
        <v>58</v>
      </c>
    </row>
    <row r="20" spans="1:23" ht="15.75" thickBot="1" x14ac:dyDescent="0.3">
      <c r="A20" s="17" t="s">
        <v>173</v>
      </c>
      <c r="B20" s="62">
        <v>3</v>
      </c>
      <c r="C20" s="18" t="s">
        <v>20</v>
      </c>
      <c r="E20" s="17" t="s">
        <v>88</v>
      </c>
      <c r="F20" s="62">
        <v>3</v>
      </c>
      <c r="G20" s="60" t="s">
        <v>13</v>
      </c>
      <c r="H20" s="62" t="s">
        <v>89</v>
      </c>
      <c r="I20" s="62">
        <v>60</v>
      </c>
      <c r="J20" s="62" t="s">
        <v>153</v>
      </c>
      <c r="K20" s="18" t="s">
        <v>4</v>
      </c>
      <c r="M20" s="19" t="s">
        <v>167</v>
      </c>
      <c r="N20" s="20">
        <v>5</v>
      </c>
      <c r="O20" s="29" t="s">
        <v>17</v>
      </c>
      <c r="P20" s="20">
        <v>214</v>
      </c>
      <c r="Q20" s="21" t="s">
        <v>58</v>
      </c>
    </row>
    <row r="21" spans="1:23" x14ac:dyDescent="0.25">
      <c r="A21" s="17" t="s">
        <v>174</v>
      </c>
      <c r="B21" s="62">
        <v>3</v>
      </c>
      <c r="C21" s="18" t="s">
        <v>58</v>
      </c>
      <c r="E21" s="17" t="s">
        <v>162</v>
      </c>
      <c r="F21" s="62">
        <v>4</v>
      </c>
      <c r="G21" s="60" t="s">
        <v>13</v>
      </c>
      <c r="H21" s="62" t="s">
        <v>12</v>
      </c>
      <c r="I21" s="62">
        <v>95</v>
      </c>
      <c r="J21" s="62" t="s">
        <v>153</v>
      </c>
      <c r="K21" s="18" t="s">
        <v>58</v>
      </c>
    </row>
    <row r="22" spans="1:23" x14ac:dyDescent="0.25">
      <c r="A22" s="17" t="s">
        <v>175</v>
      </c>
      <c r="B22" s="62">
        <v>3</v>
      </c>
      <c r="C22" s="18" t="s">
        <v>58</v>
      </c>
      <c r="E22" s="17" t="s">
        <v>102</v>
      </c>
      <c r="F22" s="62">
        <v>3</v>
      </c>
      <c r="G22" s="60" t="s">
        <v>13</v>
      </c>
      <c r="H22" s="62" t="s">
        <v>103</v>
      </c>
      <c r="I22" s="62">
        <v>98</v>
      </c>
      <c r="J22" s="62" t="s">
        <v>158</v>
      </c>
      <c r="K22" s="18" t="s">
        <v>20</v>
      </c>
    </row>
    <row r="23" spans="1:23" x14ac:dyDescent="0.25">
      <c r="A23" s="17" t="s">
        <v>176</v>
      </c>
      <c r="B23" s="62">
        <v>3</v>
      </c>
      <c r="C23" s="18" t="s">
        <v>58</v>
      </c>
      <c r="E23" s="17" t="s">
        <v>104</v>
      </c>
      <c r="F23" s="62">
        <v>4</v>
      </c>
      <c r="G23" s="60" t="s">
        <v>13</v>
      </c>
      <c r="H23" s="62" t="s">
        <v>105</v>
      </c>
      <c r="I23" s="62">
        <v>174</v>
      </c>
      <c r="J23" s="62" t="s">
        <v>158</v>
      </c>
      <c r="K23" s="18" t="s">
        <v>20</v>
      </c>
    </row>
    <row r="24" spans="1:23" x14ac:dyDescent="0.25">
      <c r="A24" s="17" t="s">
        <v>177</v>
      </c>
      <c r="B24" s="62">
        <v>3</v>
      </c>
      <c r="C24" s="18" t="s">
        <v>58</v>
      </c>
      <c r="E24" s="58" t="s">
        <v>180</v>
      </c>
      <c r="F24" s="59">
        <v>5</v>
      </c>
      <c r="G24" s="60" t="s">
        <v>13</v>
      </c>
      <c r="H24" s="59" t="s">
        <v>181</v>
      </c>
      <c r="I24" s="59">
        <v>269</v>
      </c>
      <c r="J24" s="59" t="s">
        <v>158</v>
      </c>
      <c r="K24" s="61" t="s">
        <v>58</v>
      </c>
    </row>
    <row r="25" spans="1:23" x14ac:dyDescent="0.25">
      <c r="A25" s="17" t="s">
        <v>168</v>
      </c>
      <c r="B25" s="62">
        <v>3</v>
      </c>
      <c r="C25" s="18" t="s">
        <v>4</v>
      </c>
      <c r="E25" s="17" t="s">
        <v>76</v>
      </c>
      <c r="F25" s="62">
        <v>3</v>
      </c>
      <c r="G25" s="60" t="s">
        <v>13</v>
      </c>
      <c r="H25" s="62" t="s">
        <v>77</v>
      </c>
      <c r="I25" s="67" t="s">
        <v>197</v>
      </c>
      <c r="J25" s="62" t="s">
        <v>159</v>
      </c>
      <c r="K25" s="18" t="s">
        <v>4</v>
      </c>
    </row>
    <row r="26" spans="1:23" x14ac:dyDescent="0.25">
      <c r="A26" s="17" t="s">
        <v>169</v>
      </c>
      <c r="B26" s="62">
        <v>3</v>
      </c>
      <c r="C26" s="18" t="s">
        <v>4</v>
      </c>
      <c r="E26" s="17" t="s">
        <v>80</v>
      </c>
      <c r="F26" s="62">
        <v>4</v>
      </c>
      <c r="G26" s="60" t="s">
        <v>13</v>
      </c>
      <c r="H26" s="62" t="s">
        <v>81</v>
      </c>
      <c r="I26" s="67" t="s">
        <v>198</v>
      </c>
      <c r="J26" s="62" t="s">
        <v>159</v>
      </c>
      <c r="K26" s="18" t="s">
        <v>20</v>
      </c>
    </row>
    <row r="27" spans="1:23" x14ac:dyDescent="0.25">
      <c r="A27" s="17" t="s">
        <v>55</v>
      </c>
      <c r="B27" s="62">
        <v>3</v>
      </c>
      <c r="C27" s="18" t="s">
        <v>20</v>
      </c>
      <c r="E27" s="58" t="s">
        <v>188</v>
      </c>
      <c r="F27" s="59">
        <v>5</v>
      </c>
      <c r="G27" s="60" t="s">
        <v>13</v>
      </c>
      <c r="H27" s="59" t="s">
        <v>189</v>
      </c>
      <c r="I27" s="66" t="s">
        <v>196</v>
      </c>
      <c r="J27" s="59" t="s">
        <v>159</v>
      </c>
      <c r="K27" s="61" t="s">
        <v>58</v>
      </c>
    </row>
    <row r="28" spans="1:23" x14ac:dyDescent="0.25">
      <c r="A28" s="17" t="s">
        <v>52</v>
      </c>
      <c r="B28" s="62">
        <v>4</v>
      </c>
      <c r="C28" s="18" t="s">
        <v>4</v>
      </c>
      <c r="E28" s="17" t="s">
        <v>111</v>
      </c>
      <c r="F28" s="62">
        <v>2</v>
      </c>
      <c r="G28" s="60" t="s">
        <v>13</v>
      </c>
      <c r="H28" s="62" t="s">
        <v>112</v>
      </c>
      <c r="I28" s="62">
        <v>29</v>
      </c>
      <c r="J28" s="62" t="s">
        <v>156</v>
      </c>
      <c r="K28" s="18" t="s">
        <v>20</v>
      </c>
    </row>
    <row r="29" spans="1:23" x14ac:dyDescent="0.25">
      <c r="A29" s="17" t="s">
        <v>64</v>
      </c>
      <c r="B29" s="62">
        <v>5</v>
      </c>
      <c r="C29" s="18" t="s">
        <v>20</v>
      </c>
      <c r="E29" s="17" t="s">
        <v>106</v>
      </c>
      <c r="F29" s="62">
        <v>3</v>
      </c>
      <c r="G29" s="60" t="s">
        <v>13</v>
      </c>
      <c r="H29" s="62" t="s">
        <v>107</v>
      </c>
      <c r="I29" s="62">
        <v>60</v>
      </c>
      <c r="J29" s="62" t="s">
        <v>156</v>
      </c>
      <c r="K29" s="18" t="s">
        <v>20</v>
      </c>
    </row>
    <row r="30" spans="1:23" x14ac:dyDescent="0.25">
      <c r="A30" s="17" t="s">
        <v>65</v>
      </c>
      <c r="B30" s="62">
        <v>5</v>
      </c>
      <c r="C30" s="18" t="s">
        <v>20</v>
      </c>
      <c r="E30" s="17" t="s">
        <v>108</v>
      </c>
      <c r="F30" s="62">
        <v>4</v>
      </c>
      <c r="G30" s="60" t="s">
        <v>13</v>
      </c>
      <c r="H30" s="62" t="s">
        <v>45</v>
      </c>
      <c r="I30" s="62">
        <v>95</v>
      </c>
      <c r="J30" s="62" t="s">
        <v>156</v>
      </c>
      <c r="K30" s="18" t="s">
        <v>20</v>
      </c>
    </row>
    <row r="31" spans="1:23" ht="15.75" thickBot="1" x14ac:dyDescent="0.3">
      <c r="A31" s="19" t="s">
        <v>185</v>
      </c>
      <c r="B31" s="20">
        <v>5</v>
      </c>
      <c r="C31" s="21" t="s">
        <v>58</v>
      </c>
      <c r="E31" s="17" t="s">
        <v>90</v>
      </c>
      <c r="F31" s="62">
        <v>1</v>
      </c>
      <c r="G31" s="60" t="s">
        <v>13</v>
      </c>
      <c r="H31" s="62" t="s">
        <v>91</v>
      </c>
      <c r="I31" s="62">
        <v>36</v>
      </c>
      <c r="J31" s="62" t="s">
        <v>154</v>
      </c>
      <c r="K31" s="18" t="s">
        <v>4</v>
      </c>
    </row>
    <row r="32" spans="1:23" x14ac:dyDescent="0.25">
      <c r="E32" s="17" t="s">
        <v>72</v>
      </c>
      <c r="F32" s="62">
        <v>2</v>
      </c>
      <c r="G32" s="60" t="s">
        <v>13</v>
      </c>
      <c r="H32" s="62" t="s">
        <v>75</v>
      </c>
      <c r="I32" s="62">
        <v>29</v>
      </c>
      <c r="J32" s="62" t="s">
        <v>154</v>
      </c>
      <c r="K32" s="18" t="s">
        <v>4</v>
      </c>
    </row>
    <row r="33" spans="5:11" x14ac:dyDescent="0.25">
      <c r="E33" s="17" t="s">
        <v>92</v>
      </c>
      <c r="F33" s="62">
        <v>3</v>
      </c>
      <c r="G33" s="60" t="s">
        <v>13</v>
      </c>
      <c r="H33" s="62" t="s">
        <v>93</v>
      </c>
      <c r="I33" s="62">
        <v>60</v>
      </c>
      <c r="J33" s="62" t="s">
        <v>154</v>
      </c>
      <c r="K33" s="18" t="s">
        <v>4</v>
      </c>
    </row>
    <row r="34" spans="5:11" ht="15.75" thickBot="1" x14ac:dyDescent="0.3">
      <c r="E34" s="19" t="s">
        <v>160</v>
      </c>
      <c r="F34" s="20">
        <v>4</v>
      </c>
      <c r="G34" s="27" t="s">
        <v>13</v>
      </c>
      <c r="H34" s="20" t="s">
        <v>161</v>
      </c>
      <c r="I34" s="20">
        <v>95</v>
      </c>
      <c r="J34" s="20" t="s">
        <v>154</v>
      </c>
      <c r="K34" s="21" t="s">
        <v>58</v>
      </c>
    </row>
  </sheetData>
  <sortState xmlns:xlrd2="http://schemas.microsoft.com/office/spreadsheetml/2017/richdata2" ref="E4:K34">
    <sortCondition ref="J4:J34"/>
    <sortCondition ref="F4:F34"/>
    <sortCondition ref="I4:I34"/>
  </sortState>
  <mergeCells count="5">
    <mergeCell ref="A1:B1"/>
    <mergeCell ref="A3:B3"/>
    <mergeCell ref="E3:F3"/>
    <mergeCell ref="M3:N3"/>
    <mergeCell ref="S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Levels</vt:lpstr>
      <vt:lpstr>Shopkeeper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Game</dc:creator>
  <cp:lastModifiedBy>Max Game</cp:lastModifiedBy>
  <dcterms:created xsi:type="dcterms:W3CDTF">2026-03-11T16:16:54Z</dcterms:created>
  <dcterms:modified xsi:type="dcterms:W3CDTF">2026-04-11T17:07:27Z</dcterms:modified>
</cp:coreProperties>
</file>